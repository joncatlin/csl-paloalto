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/>
  <workbookPr defaultThemeVersion="166925"/>
  <mc:AlternateContent xmlns:mc="http://schemas.openxmlformats.org/markup-compatibility/2006">
    <mc:Choice Requires="x15">
      <x15ac:absPath xmlns:x15ac="http://schemas.microsoft.com/office/spreadsheetml/2010/11/ac" url="U:\Development\Repositories\csl-paloalto\"/>
    </mc:Choice>
  </mc:AlternateContent>
  <bookViews>
    <workbookView xWindow="0" yWindow="0" windowWidth="9600" windowHeight="3795"/>
  </bookViews>
  <sheets>
    <sheet name="Palo Alto Policy Security" sheetId="7" r:id="rId1"/>
    <sheet name="PA Zones" sheetId="13" r:id="rId2"/>
    <sheet name="Objects" sheetId="10" r:id="rId3"/>
    <sheet name="Object Groups" sheetId="8" r:id="rId4"/>
    <sheet name="PA NATs" sheetId="12" r:id="rId5"/>
    <sheet name="Application Groups" sheetId="9" r:id="rId6"/>
    <sheet name="AD Groups" sheetId="15" r:id="rId7"/>
    <sheet name="Staging_DMZ" sheetId="5" r:id="rId8"/>
    <sheet name="Applications" sheetId="14" r:id="rId9"/>
    <sheet name="Cisco NATs" sheetId="2" r:id="rId10"/>
    <sheet name="Staging_Outside" sheetId="1" r:id="rId11"/>
    <sheet name="Staging" sheetId="4" r:id="rId12"/>
  </sheets>
  <definedNames>
    <definedName name="_xlnm._FilterDatabase" localSheetId="2" hidden="1">Objects!$A$1:$H$363</definedName>
    <definedName name="_xlnm._FilterDatabase" localSheetId="0" hidden="1">'Palo Alto Policy Security'!$A$1:$O$6</definedName>
    <definedName name="Staging_Objects___Copy" localSheetId="2">Objects!$A$2:$I$364</definedName>
  </definedNames>
  <calcPr calcId="171027"/>
</workbook>
</file>

<file path=xl/calcChain.xml><?xml version="1.0" encoding="utf-8"?>
<calcChain xmlns="http://schemas.openxmlformats.org/spreadsheetml/2006/main">
  <c r="K36" i="12" l="1"/>
  <c r="H36" i="12"/>
  <c r="B36" i="12"/>
  <c r="B35" i="12"/>
  <c r="B34" i="12"/>
  <c r="F4" i="7"/>
  <c r="K35" i="12"/>
  <c r="H35" i="12"/>
  <c r="D365" i="8" l="1"/>
  <c r="D665" i="8"/>
  <c r="D664" i="8"/>
  <c r="D663" i="8"/>
  <c r="D662" i="8"/>
  <c r="D661" i="8"/>
  <c r="D660" i="8"/>
  <c r="D659" i="8"/>
  <c r="D658" i="8"/>
  <c r="D657" i="8"/>
  <c r="D656" i="8"/>
  <c r="D726" i="8"/>
  <c r="D725" i="8"/>
  <c r="D724" i="8"/>
  <c r="D288" i="8"/>
  <c r="D732" i="8"/>
  <c r="D296" i="8"/>
  <c r="D730" i="8"/>
  <c r="D297" i="8"/>
  <c r="D728" i="8"/>
  <c r="D161" i="8"/>
  <c r="D235" i="8"/>
  <c r="D234" i="8"/>
  <c r="D233" i="8"/>
  <c r="D232" i="8"/>
  <c r="D10" i="8"/>
  <c r="D9" i="8"/>
  <c r="D220" i="8"/>
  <c r="J9" i="7" l="1"/>
  <c r="I9" i="7"/>
  <c r="G9" i="7"/>
  <c r="E9" i="7"/>
  <c r="J8" i="7"/>
  <c r="J7" i="7"/>
  <c r="G8" i="7"/>
  <c r="G7" i="7"/>
  <c r="I8" i="7"/>
  <c r="E8" i="7"/>
  <c r="I7" i="7"/>
  <c r="E7" i="7"/>
  <c r="D723" i="8" l="1"/>
  <c r="D722" i="8"/>
  <c r="D721" i="8"/>
  <c r="D704" i="8"/>
  <c r="K31" i="12" l="1"/>
  <c r="K32" i="12"/>
  <c r="H32" i="12"/>
  <c r="A14" i="15" l="1"/>
  <c r="A13" i="15"/>
  <c r="A12" i="15"/>
  <c r="A10" i="15"/>
  <c r="A8" i="15"/>
  <c r="A7" i="15"/>
  <c r="A6" i="15"/>
  <c r="A5" i="15"/>
  <c r="A4" i="15"/>
  <c r="A3" i="15"/>
  <c r="H33" i="12" l="1"/>
  <c r="H31" i="12"/>
  <c r="H30" i="12"/>
  <c r="B33" i="12"/>
  <c r="D541" i="8" l="1"/>
  <c r="D540" i="8"/>
  <c r="D539" i="8"/>
  <c r="D538" i="8"/>
  <c r="D360" i="8"/>
  <c r="K30" i="12"/>
  <c r="K34" i="12"/>
  <c r="H34" i="12"/>
  <c r="E34" i="12"/>
  <c r="D34" i="12"/>
  <c r="B32" i="12"/>
  <c r="B31" i="12"/>
  <c r="B30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E4" i="12"/>
  <c r="E3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4" i="12"/>
  <c r="D3" i="12"/>
  <c r="D72" i="8"/>
  <c r="D693" i="8"/>
  <c r="D686" i="8"/>
  <c r="D4" i="9"/>
  <c r="D3" i="9"/>
  <c r="D436" i="8"/>
  <c r="D714" i="8"/>
  <c r="D713" i="8"/>
  <c r="D712" i="8"/>
  <c r="D711" i="8"/>
  <c r="D710" i="8"/>
  <c r="D709" i="8"/>
  <c r="D719" i="8"/>
  <c r="D718" i="8"/>
  <c r="D717" i="8"/>
  <c r="D716" i="8"/>
  <c r="D708" i="8"/>
  <c r="J3" i="7"/>
  <c r="I3" i="7"/>
  <c r="F6" i="7"/>
  <c r="F5" i="7"/>
  <c r="D706" i="8"/>
  <c r="D703" i="8"/>
  <c r="D702" i="8"/>
  <c r="D701" i="8"/>
  <c r="D700" i="8"/>
  <c r="D699" i="8"/>
  <c r="D698" i="8"/>
  <c r="D697" i="8"/>
  <c r="D696" i="8"/>
  <c r="D695" i="8"/>
  <c r="D364" i="8"/>
  <c r="D363" i="8"/>
  <c r="D362" i="8"/>
  <c r="K6" i="7" l="1"/>
  <c r="D250" i="9"/>
  <c r="D246" i="9"/>
  <c r="D24" i="9"/>
  <c r="D22" i="9"/>
  <c r="D20" i="9"/>
  <c r="D17" i="9"/>
  <c r="D16" i="9"/>
  <c r="D15" i="9"/>
  <c r="D14" i="9"/>
  <c r="D13" i="9"/>
  <c r="D12" i="9"/>
  <c r="D11" i="9"/>
  <c r="D10" i="9"/>
  <c r="D9" i="9"/>
  <c r="D8" i="9"/>
  <c r="D7" i="9"/>
  <c r="D248" i="9"/>
  <c r="D238" i="9"/>
  <c r="D691" i="8"/>
  <c r="D689" i="8"/>
  <c r="D688" i="8"/>
  <c r="D685" i="8"/>
  <c r="D684" i="8"/>
  <c r="E6" i="7"/>
  <c r="E5" i="7"/>
  <c r="E4" i="7"/>
  <c r="E3" i="7"/>
  <c r="E2" i="7"/>
  <c r="K5" i="7"/>
  <c r="K4" i="7"/>
  <c r="K3" i="7"/>
  <c r="K2" i="7"/>
  <c r="J4" i="7" l="1"/>
  <c r="J5" i="7"/>
  <c r="J6" i="7"/>
  <c r="J2" i="7"/>
  <c r="I2" i="7"/>
  <c r="I4" i="7"/>
  <c r="I5" i="7"/>
  <c r="I6" i="7"/>
  <c r="F3" i="7"/>
  <c r="H5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K5" i="12"/>
  <c r="B4" i="12"/>
  <c r="B3" i="12"/>
  <c r="K4" i="12"/>
  <c r="K3" i="12"/>
  <c r="H4" i="12"/>
  <c r="H3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K25" i="12"/>
  <c r="K29" i="12"/>
  <c r="K28" i="12"/>
  <c r="K27" i="12"/>
  <c r="K26" i="12"/>
  <c r="K24" i="12"/>
  <c r="K23" i="12"/>
  <c r="K22" i="12"/>
  <c r="K15" i="12"/>
  <c r="K10" i="12"/>
  <c r="K11" i="12"/>
  <c r="K12" i="12"/>
  <c r="K14" i="12"/>
  <c r="K13" i="12"/>
  <c r="K17" i="12"/>
  <c r="K16" i="12"/>
  <c r="K21" i="12"/>
  <c r="K20" i="12"/>
  <c r="K19" i="12"/>
  <c r="K18" i="12"/>
  <c r="K8" i="12"/>
  <c r="K7" i="12"/>
  <c r="K9" i="12"/>
  <c r="K6" i="12"/>
  <c r="D531" i="8"/>
  <c r="D530" i="8"/>
  <c r="D529" i="8"/>
  <c r="D528" i="8"/>
  <c r="D527" i="8"/>
  <c r="D526" i="8"/>
  <c r="D525" i="8"/>
  <c r="D524" i="8"/>
  <c r="D523" i="8"/>
  <c r="D522" i="8"/>
  <c r="D521" i="8"/>
  <c r="D520" i="8"/>
  <c r="D293" i="8"/>
  <c r="D682" i="8"/>
  <c r="D681" i="8"/>
  <c r="D286" i="8"/>
  <c r="D228" i="8"/>
  <c r="D227" i="8"/>
  <c r="D285" i="8"/>
  <c r="D254" i="8"/>
  <c r="D253" i="8"/>
  <c r="D252" i="8"/>
  <c r="D251" i="8"/>
  <c r="D284" i="8"/>
  <c r="D283" i="8"/>
  <c r="D219" i="8"/>
  <c r="D282" i="8"/>
  <c r="D169" i="8"/>
  <c r="D280" i="8"/>
  <c r="D158" i="8"/>
  <c r="D157" i="8"/>
  <c r="D281" i="8"/>
  <c r="D160" i="8"/>
  <c r="D278" i="8"/>
  <c r="D249" i="8"/>
  <c r="D248" i="8"/>
  <c r="D247" i="8"/>
  <c r="D246" i="8"/>
  <c r="D245" i="8"/>
  <c r="D244" i="8"/>
  <c r="D243" i="8"/>
  <c r="D242" i="8"/>
  <c r="D241" i="8"/>
  <c r="D240" i="8"/>
  <c r="D239" i="8"/>
  <c r="D238" i="8"/>
  <c r="D237" i="8"/>
  <c r="D277" i="8"/>
  <c r="D231" i="8"/>
  <c r="D230" i="8"/>
  <c r="D276" i="8"/>
  <c r="D8" i="8"/>
  <c r="D7" i="8"/>
  <c r="D6" i="8"/>
  <c r="D5" i="8"/>
  <c r="D679" i="8"/>
  <c r="D268" i="8"/>
  <c r="D267" i="8"/>
  <c r="D266" i="8"/>
  <c r="D265" i="8"/>
  <c r="D295" i="8"/>
  <c r="D272" i="8"/>
  <c r="D289" i="8"/>
  <c r="D263" i="8"/>
  <c r="D262" i="8"/>
  <c r="D261" i="8"/>
  <c r="D260" i="8"/>
  <c r="D259" i="8"/>
  <c r="D258" i="8"/>
  <c r="D257" i="8"/>
  <c r="D256" i="8"/>
  <c r="D271" i="8"/>
  <c r="D270" i="8"/>
  <c r="D269" i="8"/>
  <c r="D287" i="8"/>
  <c r="D275" i="8"/>
  <c r="D274" i="8"/>
  <c r="D225" i="8"/>
  <c r="D224" i="8"/>
  <c r="D223" i="8"/>
  <c r="D222" i="8"/>
  <c r="D678" i="8"/>
  <c r="D677" i="8"/>
  <c r="D431" i="8"/>
  <c r="D430" i="8"/>
  <c r="D429" i="8"/>
  <c r="D428" i="8"/>
  <c r="D427" i="8"/>
  <c r="D426" i="8"/>
  <c r="D425" i="8"/>
  <c r="D424" i="8"/>
  <c r="D423" i="8"/>
  <c r="D422" i="8"/>
  <c r="D676" i="8"/>
  <c r="D675" i="8"/>
</calcChain>
</file>

<file path=xl/connections.xml><?xml version="1.0" encoding="utf-8"?>
<connections xmlns="http://schemas.openxmlformats.org/spreadsheetml/2006/main">
  <connection id="1" name="Staging_Objects - Copy" type="6" refreshedVersion="6" background="1" saveData="1">
    <textPr codePage="437" sourceFile="M:\firewall\PaloAlto\Staging_Objects - Copy.csv" comma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<sst xmlns="http://schemas.openxmlformats.org/spreadsheetml/2006/main" count="4599" uniqueCount="1917">
  <si>
    <t>Interface</t>
  </si>
  <si>
    <t>#</t>
  </si>
  <si>
    <t>Enabled</t>
  </si>
  <si>
    <t>Source</t>
  </si>
  <si>
    <t>User</t>
  </si>
  <si>
    <t>Security Group</t>
  </si>
  <si>
    <t>Destination</t>
  </si>
  <si>
    <t>Action</t>
  </si>
  <si>
    <t>Service</t>
  </si>
  <si>
    <t>Hits</t>
  </si>
  <si>
    <t>Outside (12 incoming rules)</t>
  </si>
  <si>
    <t>184.185.173.210,72.44.200.188,69.71.60.252,64.39.96.1-64.39.111.254,62.210.136.129-62.210.136.254</t>
  </si>
  <si>
    <t>192.168.201.161</t>
  </si>
  <si>
    <t>Permit</t>
  </si>
  <si>
    <t>tcp/http,tcp/https</t>
  </si>
  <si>
    <t>192.168.201.169</t>
  </si>
  <si>
    <t>192.168.201.167</t>
  </si>
  <si>
    <t>192.168.201.168</t>
  </si>
  <si>
    <t>GROUP_Incapsula_IPs</t>
  </si>
  <si>
    <t>184.185.173.210,72.44.200.188,69.71.60.252</t>
  </si>
  <si>
    <t>192.168.202.154</t>
  </si>
  <si>
    <t>tcp/https</t>
  </si>
  <si>
    <t>184.185.173.210,72.44.200.188,69.71.60.252,GROUP_MARRIOTT_IPs</t>
  </si>
  <si>
    <t>192.168.201.230</t>
  </si>
  <si>
    <t>FTPTransferServices</t>
  </si>
  <si>
    <t>GROUP_SUMMERBAY_IPs,GROUP_SUNDANCE_IPs,GROUP_WELK_IPs</t>
  </si>
  <si>
    <t>GROUP_Crush_Clients</t>
  </si>
  <si>
    <t>192.168.202.134</t>
  </si>
  <si>
    <t>tcp/https,tcp/ssh</t>
  </si>
  <si>
    <t>any4</t>
  </si>
  <si>
    <t>ip</t>
  </si>
  <si>
    <t>Staging_122 (16 incoming rules)</t>
  </si>
  <si>
    <t>any</t>
  </si>
  <si>
    <t>GROUP_SERVERS_NTP</t>
  </si>
  <si>
    <t>tcp/daytime,udp/ntp,udp/time</t>
  </si>
  <si>
    <t>10.122.0.153</t>
  </si>
  <si>
    <t>8.8.8.8,8.8.4.4,208.67.222.222</t>
  </si>
  <si>
    <t>tcp-udp/domain</t>
  </si>
  <si>
    <t>10.122.0.130</t>
  </si>
  <si>
    <t>192.30.252.153-192.30.252.154</t>
  </si>
  <si>
    <t>test-dataexchange.iusesam.com,209.235.237.215</t>
  </si>
  <si>
    <t>tlstest.paypal.com,pilot-payflowpro.paypal.com</t>
  </si>
  <si>
    <t>10.122.0.48</t>
  </si>
  <si>
    <t>192.168.201.132</t>
  </si>
  <si>
    <t>GROUP_CrushInternal_Servers</t>
  </si>
  <si>
    <t>104.236.78.254</t>
  </si>
  <si>
    <t>Group_PCIASAv_CrushDATA</t>
  </si>
  <si>
    <t>tcp/ssh</t>
  </si>
  <si>
    <t>10.122.0.11</t>
  </si>
  <si>
    <t>10.128.0.177</t>
  </si>
  <si>
    <t>192.168.202.146</t>
  </si>
  <si>
    <t>192.168.202.155</t>
  </si>
  <si>
    <t>GROUP_RABBITMQ_SERVERS</t>
  </si>
  <si>
    <t>Staging_122 (47 outgoing rules)</t>
  </si>
  <si>
    <t>RabbitMQ_Services</t>
  </si>
  <si>
    <t>192.168.202.141</t>
  </si>
  <si>
    <t>10.122.0.10</t>
  </si>
  <si>
    <t>SQLServices_PHXV</t>
  </si>
  <si>
    <t>CSS_Services</t>
  </si>
  <si>
    <t>192.168.202.153</t>
  </si>
  <si>
    <t>10.122.0.40</t>
  </si>
  <si>
    <t>SQLServices_SQLIOS</t>
  </si>
  <si>
    <t>10.122.0.131</t>
  </si>
  <si>
    <t>GROUP_NetworkAdmins</t>
  </si>
  <si>
    <t>10.122.0.44</t>
  </si>
  <si>
    <t>tcp/ftp,tcp/ssh</t>
  </si>
  <si>
    <t>GROUP_SQLIOS_ALLOWED</t>
  </si>
  <si>
    <t>udp/netbios-ns</t>
  </si>
  <si>
    <t>GROUP_PHXV_ALLOWED</t>
  </si>
  <si>
    <t>GROUP_PHXWH_ALLOWED</t>
  </si>
  <si>
    <t>10.122.0.17</t>
  </si>
  <si>
    <t>GROUP_NetworkAdmins,GROUP_PHXRPTV_ALLOWED</t>
  </si>
  <si>
    <t>10.122.0.37</t>
  </si>
  <si>
    <t>GROUP_PHXRPTS_ALLOWED</t>
  </si>
  <si>
    <t>GROUP_CSS_STAGING_122_ALLOWED</t>
  </si>
  <si>
    <t>GROUP_SCMSTAGING_ALLOWED</t>
  </si>
  <si>
    <t>GROUP_NetworkAdmins,GROUP_QA,Group_Programmers</t>
  </si>
  <si>
    <t>10.122.0.148</t>
  </si>
  <si>
    <t>GROUP_CrushInternal_Users,GROUP_NetworkAdmins,10.128.10.133,10.128.10.118</t>
  </si>
  <si>
    <t>GROUP_HTTPSLOGSSTAGING_ALLOWED,Group_Programmers</t>
  </si>
  <si>
    <t>Group_Programmers</t>
  </si>
  <si>
    <t>10.128.10.103</t>
  </si>
  <si>
    <t>GROUP_NetworkAdmins,GROUP_SQLAPPSV_ALLOWED</t>
  </si>
  <si>
    <t>10.122.0.111</t>
  </si>
  <si>
    <t>GROUP_FTPServerCSC_ALLOWED</t>
  </si>
  <si>
    <t>GROUP_CrushInternal_Users</t>
  </si>
  <si>
    <t>GROUP_SMTPView_ALLOWED</t>
  </si>
  <si>
    <t>10.122.0.30</t>
  </si>
  <si>
    <t>GROUP_SQLSENTRY_ALLOWED</t>
  </si>
  <si>
    <t>10.122.0.102</t>
  </si>
  <si>
    <t>10.122.0.13</t>
  </si>
  <si>
    <t>10.128.10.86</t>
  </si>
  <si>
    <t>RDP</t>
  </si>
  <si>
    <t>10.128.10.86,10.128.10.22</t>
  </si>
  <si>
    <t>10.128.0.98</t>
  </si>
  <si>
    <t>SERVICE_GROUP_NETMNGR</t>
  </si>
  <si>
    <t>Staging_DMZ (34 incoming rules)</t>
  </si>
  <si>
    <t>8.8.8.8,208.67.222.222</t>
  </si>
  <si>
    <t>50.73.158.165,GROUP_IBEROSTAR_IPs,GROUP_Incapsula_IPs,GROUP_RCI_IPs,GROUP_SUNDANCE_IPs,65.163.245.88,65.163.245.78</t>
  </si>
  <si>
    <t>208.67.222.222</t>
  </si>
  <si>
    <t>GROUP_PCIASAv_FIREWALLS</t>
  </si>
  <si>
    <t>GROUP_PCIASAv_CrushDMZ</t>
  </si>
  <si>
    <t>USBank_SSH,tcp/http,tcp/https,tcp/ssh</t>
  </si>
  <si>
    <t>192.168.202.232</t>
  </si>
  <si>
    <t>192.168.202.149</t>
  </si>
  <si>
    <t>65.163.245.90</t>
  </si>
  <si>
    <t>Staging_DMZ (24 outgoing rules)</t>
  </si>
  <si>
    <t>RabbitMQ_Services,tcp/http,tcp/https</t>
  </si>
  <si>
    <t>udp/snmp,udp/snmptrap</t>
  </si>
  <si>
    <t>GROUP_NetworkAdmins,10.128.10.133,10.128.10.118</t>
  </si>
  <si>
    <t>FTP_Services</t>
  </si>
  <si>
    <t>192.168.201.20</t>
  </si>
  <si>
    <t>Staging_DMZ</t>
  </si>
  <si>
    <t>Outside</t>
  </si>
  <si>
    <t>192.168.204.132</t>
  </si>
  <si>
    <t>-- Original --</t>
  </si>
  <si>
    <t>1</t>
  </si>
  <si>
    <t>2</t>
  </si>
  <si>
    <t>Staging_NAT</t>
  </si>
  <si>
    <t>10.148.0.134</t>
  </si>
  <si>
    <t>3</t>
  </si>
  <si>
    <t>192.168.204.134</t>
  </si>
  <si>
    <t>4</t>
  </si>
  <si>
    <t>192.168.204.161</t>
  </si>
  <si>
    <t>5</t>
  </si>
  <si>
    <t>10.148.0.161</t>
  </si>
  <si>
    <t>6</t>
  </si>
  <si>
    <t>192.168.204.167</t>
  </si>
  <si>
    <t>7</t>
  </si>
  <si>
    <t>10.148.0.167</t>
  </si>
  <si>
    <t>8</t>
  </si>
  <si>
    <t>10.148.0.168</t>
  </si>
  <si>
    <t>9</t>
  </si>
  <si>
    <t>192.168.204.169</t>
  </si>
  <si>
    <t>10</t>
  </si>
  <si>
    <t>10.148.0.169</t>
  </si>
  <si>
    <t>11</t>
  </si>
  <si>
    <t>10.148.0.230</t>
  </si>
  <si>
    <t>12</t>
  </si>
  <si>
    <t>bfu$c@1c39439</t>
  </si>
  <si>
    <t>13</t>
  </si>
  <si>
    <t>192.168.204.230</t>
  </si>
  <si>
    <t>14</t>
  </si>
  <si>
    <t>192.168.204.154</t>
  </si>
  <si>
    <t>15</t>
  </si>
  <si>
    <t>10.148.0.154</t>
  </si>
  <si>
    <t>16</t>
  </si>
  <si>
    <t>10.148.0.224</t>
  </si>
  <si>
    <t>192.168.202.128</t>
  </si>
  <si>
    <t>17</t>
  </si>
  <si>
    <t>Staging_122</t>
  </si>
  <si>
    <t>192.168.204.53</t>
  </si>
  <si>
    <t>18</t>
  </si>
  <si>
    <t>192.168.204.200</t>
  </si>
  <si>
    <t>19</t>
  </si>
  <si>
    <t>192.168.204.201</t>
  </si>
  <si>
    <t>20</t>
  </si>
  <si>
    <t>10.122.0.43</t>
  </si>
  <si>
    <t>192.168.204.204</t>
  </si>
  <si>
    <t>21</t>
  </si>
  <si>
    <t>192.168.204.207</t>
  </si>
  <si>
    <t>22</t>
  </si>
  <si>
    <t>192.168.202.144</t>
  </si>
  <si>
    <t>10.122.0.63</t>
  </si>
  <si>
    <t>23</t>
  </si>
  <si>
    <t>192.168.202.156</t>
  </si>
  <si>
    <t>24</t>
  </si>
  <si>
    <t>192.168.204.203</t>
  </si>
  <si>
    <t>25</t>
  </si>
  <si>
    <t>192.168.202.132</t>
  </si>
  <si>
    <t>192.168.204.206</t>
  </si>
  <si>
    <t>26</t>
  </si>
  <si>
    <t>192.168.204.232</t>
  </si>
  <si>
    <t>27</t>
  </si>
  <si>
    <t>No Proxy ARP</t>
  </si>
  <si>
    <t>10.148.0.10</t>
  </si>
  <si>
    <t>10.148.0.11</t>
  </si>
  <si>
    <t>10.148.0.37</t>
  </si>
  <si>
    <t>10.148.0.250</t>
  </si>
  <si>
    <t>GROUP_PHXRPTV_ALLOWED</t>
  </si>
  <si>
    <t>10.148.0.131</t>
  </si>
  <si>
    <t>10.148.0.30</t>
  </si>
  <si>
    <t>192.168.202.143</t>
  </si>
  <si>
    <t>bfu$c@17b0bbe</t>
  </si>
  <si>
    <t>37</t>
  </si>
  <si>
    <t>192.168.202.130</t>
  </si>
  <si>
    <t>192.168.202.145</t>
  </si>
  <si>
    <t>10.122.0.66</t>
  </si>
  <si>
    <t>192.168.204.205</t>
  </si>
  <si>
    <t>39</t>
  </si>
  <si>
    <t>10.148.0.66</t>
  </si>
  <si>
    <t>10.128.10.133</t>
  </si>
  <si>
    <t>10.128.10.118</t>
  </si>
  <si>
    <t>10.148.0.245</t>
  </si>
  <si>
    <t>10.148.0.43</t>
  </si>
  <si>
    <t>10.148.0.48</t>
  </si>
  <si>
    <t>GROUP_HTTPSLOGSSTAGING_ALLOWED</t>
  </si>
  <si>
    <t>GROUP_InterlinkSecurity_ALLOWED</t>
  </si>
  <si>
    <t>10.148.0.130</t>
  </si>
  <si>
    <t>10.128.10.89</t>
  </si>
  <si>
    <t>10.148.0.20</t>
  </si>
  <si>
    <t>GROUP_QA</t>
  </si>
  <si>
    <t>10.148.0.148</t>
  </si>
  <si>
    <t>10.148.0.40</t>
  </si>
  <si>
    <t>GROUP_SQLAPPSV_ALLOWED</t>
  </si>
  <si>
    <t>10.148.0.111</t>
  </si>
  <si>
    <t>10.148.0.44</t>
  </si>
  <si>
    <t>10.148.0.17</t>
  </si>
  <si>
    <t>10.148.0.63</t>
  </si>
  <si>
    <t>192.168.202.150</t>
  </si>
  <si>
    <t>192.168.202.151</t>
  </si>
  <si>
    <t>10.148.0.246</t>
  </si>
  <si>
    <t>10.148.0.247</t>
  </si>
  <si>
    <t>10.148.0.248</t>
  </si>
  <si>
    <t>10.148.0.249</t>
  </si>
  <si>
    <t>10.128.10.22</t>
  </si>
  <si>
    <t>10.148.0.13</t>
  </si>
  <si>
    <t>192.168.200.0/22</t>
  </si>
  <si>
    <t>bfu$c@17b805a</t>
  </si>
  <si>
    <t>object service USBank_SSH</t>
  </si>
  <si>
    <t xml:space="preserve"> group-object GROUP_Innovation</t>
  </si>
  <si>
    <t xml:space="preserve"> group-object Group_Operations</t>
  </si>
  <si>
    <t>object-group protocol TCPUDP</t>
  </si>
  <si>
    <t xml:space="preserve"> protocol-object udp</t>
  </si>
  <si>
    <t xml:space="preserve"> protocol-object tcp</t>
  </si>
  <si>
    <t xml:space="preserve"> service-object object USBank_SSH </t>
  </si>
  <si>
    <t xml:space="preserve"> service-object tcp destination eq www </t>
  </si>
  <si>
    <t xml:space="preserve"> service-object tcp destination eq https </t>
  </si>
  <si>
    <t xml:space="preserve"> service-object tcp destination eq ssh </t>
  </si>
  <si>
    <t xml:space="preserve"> group-object RabbitMQ_Services</t>
  </si>
  <si>
    <t xml:space="preserve"> service-object tcp-udp destination eq 3389 </t>
  </si>
  <si>
    <t xml:space="preserve"> service-object icmp </t>
  </si>
  <si>
    <t xml:space="preserve"> service-object tcp destination eq telnet </t>
  </si>
  <si>
    <t xml:space="preserve"> service-object udp destination eq snmp </t>
  </si>
  <si>
    <t xml:space="preserve"> service-object udp destination eq snmptrap </t>
  </si>
  <si>
    <t xml:space="preserve"> service-object tcp destination eq daytime </t>
  </si>
  <si>
    <t xml:space="preserve"> service-object udp destination eq ntp </t>
  </si>
  <si>
    <t xml:space="preserve"> service-object udp destination eq time </t>
  </si>
  <si>
    <t>Type</t>
  </si>
  <si>
    <t>Tags</t>
  </si>
  <si>
    <t>Name</t>
  </si>
  <si>
    <t>Zone</t>
  </si>
  <si>
    <t>Address</t>
  </si>
  <si>
    <t>HIP Profile</t>
  </si>
  <si>
    <t>Application</t>
  </si>
  <si>
    <t>Profile</t>
  </si>
  <si>
    <t>Options</t>
  </si>
  <si>
    <t>Concord1_Inbound</t>
  </si>
  <si>
    <t>interzone</t>
  </si>
  <si>
    <t>Staging_CSC_LAN</t>
  </si>
  <si>
    <t>Concord1_Protocols</t>
  </si>
  <si>
    <t>application-default</t>
  </si>
  <si>
    <t>allow</t>
  </si>
  <si>
    <t>none</t>
  </si>
  <si>
    <t>Concord Outside Inbound</t>
  </si>
  <si>
    <t>traffic log sent at session end
log forwarding profile: Alienvault</t>
  </si>
  <si>
    <t>CSL
Outside
Inbound</t>
  </si>
  <si>
    <t>Staging_Prod_DMZ</t>
  </si>
  <si>
    <t>MAI
Outside
Inbound</t>
  </si>
  <si>
    <t>no</t>
  </si>
  <si>
    <t>del</t>
  </si>
  <si>
    <t>RabbitMQ_Services tcp</t>
  </si>
  <si>
    <t>CSS_Services tcp</t>
  </si>
  <si>
    <t>SQLServices_PHXV tcp</t>
  </si>
  <si>
    <t>SQLServices_SQLIOS tcp</t>
  </si>
  <si>
    <t>DM_INLINE_TCP_10 tcp</t>
  </si>
  <si>
    <t>CSS_Tokenization tcp</t>
  </si>
  <si>
    <t>SERVICE_NFS tcp-udp</t>
  </si>
  <si>
    <t>FTP_Services tcp</t>
  </si>
  <si>
    <t>FTPTransferServices tcp</t>
  </si>
  <si>
    <t>DM_INLINE_TCP_11 tcp</t>
  </si>
  <si>
    <t>DM_INLINE_TCP_1 tcp</t>
  </si>
  <si>
    <t>DM_INLINE_TCP_4 tcp</t>
  </si>
  <si>
    <t>DM_INLINE_TCP_2 tcp</t>
  </si>
  <si>
    <t>DM_INLINE_TCP_3 tcp</t>
  </si>
  <si>
    <t>DM_INLINE_TCP_5 tcp</t>
  </si>
  <si>
    <t>DM_INLINE_TCP_6 tcp</t>
  </si>
  <si>
    <t>DM_INLINE_TCP_7 tcp</t>
  </si>
  <si>
    <t>DM_INLINE_TCP_8 tcp</t>
  </si>
  <si>
    <t>RabbitMQManagement tcp</t>
  </si>
  <si>
    <t>DM_INLINE_TCP_9 tcp</t>
  </si>
  <si>
    <t>DM_INLINE_TCP_12 tcp</t>
  </si>
  <si>
    <t>DM_INLINE_TCP_13 tcp</t>
  </si>
  <si>
    <t>DM_INLINE_TCP_14 tcp</t>
  </si>
  <si>
    <t>DM_INLINE_TCP_15 tcp</t>
  </si>
  <si>
    <t>DM_INLINE_TCP_16 tcp</t>
  </si>
  <si>
    <t>DM_INLINE_TCP_17 tcp</t>
  </si>
  <si>
    <t>DM_INLINE_TCP_18 tcp</t>
  </si>
  <si>
    <t>DM_INLINE_TCP_19 tcp</t>
  </si>
  <si>
    <t>DM_INLINE_SERVICE_1</t>
  </si>
  <si>
    <t>DM_INLINE_TCP_20 tcp</t>
  </si>
  <si>
    <t>DM_INLINE_TCP_21 tcp</t>
  </si>
  <si>
    <t>DM_INLINE_TCP_22 tcp</t>
  </si>
  <si>
    <t>DM_INLINE_TCP_23 tcp</t>
  </si>
  <si>
    <t>DM_INLINE_TCP_24 tcp</t>
  </si>
  <si>
    <t>DM_INLINE_TCP_25 tcp</t>
  </si>
  <si>
    <t>DM_INLINE_TCP_26 tcp</t>
  </si>
  <si>
    <t>DM_INLINE_TCP_27 tcp</t>
  </si>
  <si>
    <t>DM_INLINE_TCP_28 tcp</t>
  </si>
  <si>
    <t>DM_INLINE_TCP_29 tcp</t>
  </si>
  <si>
    <t>DM_INLINE_TCP_30 tcp</t>
  </si>
  <si>
    <t>DM_INLINE_TCP_31 tcp</t>
  </si>
  <si>
    <t>DM_INLINE_TCP_32 tcp</t>
  </si>
  <si>
    <t>DM_INLINE_TCP_33 tcp</t>
  </si>
  <si>
    <t>DM_INLINE_TCP_34 tcp</t>
  </si>
  <si>
    <t>DM_INLINE_TCP_35 tcp</t>
  </si>
  <si>
    <t>DM_INLINE_TCP_36 tcp</t>
  </si>
  <si>
    <t>DM_INLINE_TCP_37 tcp</t>
  </si>
  <si>
    <t>DM_INLINE_TCP_38 tcp</t>
  </si>
  <si>
    <t>DM_INLINE_TCP_39 tcp</t>
  </si>
  <si>
    <t>DM_INLINE_TCP_40 tcp</t>
  </si>
  <si>
    <t>DM_INLINE_TCP_41 tcp</t>
  </si>
  <si>
    <t>DM_INLINE_TCP_42 tcp</t>
  </si>
  <si>
    <t>LDAP_Services tcp</t>
  </si>
  <si>
    <t>DM_INLINE_TCP_43 tcp</t>
  </si>
  <si>
    <t>DM_INLINE_UDP_1 udp</t>
  </si>
  <si>
    <t>DM_INLINE_TCP_46 tcp</t>
  </si>
  <si>
    <t>DM_INLINE_SERVICE_2</t>
  </si>
  <si>
    <t>DM_INLINE_SERVICE_3</t>
  </si>
  <si>
    <t>DM_INLINE_TCP_47 tcp</t>
  </si>
  <si>
    <t>DM_INLINE_TCP_44 tcp</t>
  </si>
  <si>
    <t>GROUP_GXS_IPs</t>
  </si>
  <si>
    <t>GROUP_RabbitMQ</t>
  </si>
  <si>
    <t>Group_CrushInternal_Admins</t>
  </si>
  <si>
    <t>Group_Operations</t>
  </si>
  <si>
    <t>GROUP_Innovation</t>
  </si>
  <si>
    <t>Group_GERC_IPs</t>
  </si>
  <si>
    <t>GROUP_SEMPRA_IPs</t>
  </si>
  <si>
    <t>GROUP_PSEG_IPs</t>
  </si>
  <si>
    <t>GROUP_BPW_IPs</t>
  </si>
  <si>
    <t>GROUP_SUNDANCE_IPs</t>
  </si>
  <si>
    <t>GROUP_TRICOM_IPs</t>
  </si>
  <si>
    <t>GROUP_PGE_IPs</t>
  </si>
  <si>
    <t>GROUP_SCE_IPs</t>
  </si>
  <si>
    <t>GROUP_WELLSFARGO_IPs</t>
  </si>
  <si>
    <t>GROUP_NATIONALGRID_IPs</t>
  </si>
  <si>
    <t>GROUP_RCI_IPs</t>
  </si>
  <si>
    <t>GROUP_Developers</t>
  </si>
  <si>
    <t>GROUP_PCIASAv_WebServicesPCIDMZ_SERVERS</t>
  </si>
  <si>
    <t>GROUP_SUMMERBAY_IPs</t>
  </si>
  <si>
    <t>DM_INLINE_NETWORK_1</t>
  </si>
  <si>
    <t>GROUP_COSTAMEX_WEBSERVICES</t>
  </si>
  <si>
    <t>CLIENT_IBEROSTAR_IPs</t>
  </si>
  <si>
    <t>DM_INLINE_NETWORK_2</t>
  </si>
  <si>
    <t>GROUP_Team_Infinity</t>
  </si>
  <si>
    <t>GROUP_Team_andBeyond</t>
  </si>
  <si>
    <t>GROUP_IBEROSTAR_IPs</t>
  </si>
  <si>
    <t>DM_INLINE_NETWORK_3</t>
  </si>
  <si>
    <t>DM_INLINE_NETWORK_4</t>
  </si>
  <si>
    <t>DM_INLINE_NETWORK_5</t>
  </si>
  <si>
    <t>DM_INLINE_NETWORK_6</t>
  </si>
  <si>
    <t>DM_INLINE_NETWORK_7</t>
  </si>
  <si>
    <t>DM_INLINE_NETWORK_8</t>
  </si>
  <si>
    <t>GROUP_MARRIOTT_IPs</t>
  </si>
  <si>
    <t>DM_INLINE_NETWORK_9</t>
  </si>
  <si>
    <t>GROUP_WELK_IPs</t>
  </si>
  <si>
    <t>DM_INLINE_NETWORK_10</t>
  </si>
  <si>
    <t>DM_INLINE_NETWORK_11</t>
  </si>
  <si>
    <t>DM_INLINE_NETWORK_12</t>
  </si>
  <si>
    <t>DM_INLINE_NETWORK_13</t>
  </si>
  <si>
    <t>DM_INLINE_NETWORK_14</t>
  </si>
  <si>
    <t>DM_INLINE_NETWORK_15</t>
  </si>
  <si>
    <t>DM_INLINE_NETWORK_16</t>
  </si>
  <si>
    <t>DM_INLINE_NETWORK_17</t>
  </si>
  <si>
    <t>DM_INLINE_NETWORK_18</t>
  </si>
  <si>
    <t>DM_INLINE_NETWORK_19</t>
  </si>
  <si>
    <t>DM_INLINE_NETWORK_20</t>
  </si>
  <si>
    <t>DM_INLINE_NETWORK_21</t>
  </si>
  <si>
    <t>DM_INLINE_NETWORK_22</t>
  </si>
  <si>
    <t>DM_INLINE_NETWORK_23</t>
  </si>
  <si>
    <t>DM_INLINE_NETWORK_32</t>
  </si>
  <si>
    <t>DM_INLINE_NETWORK_24</t>
  </si>
  <si>
    <t>DM_INLINE_NETWORK_25</t>
  </si>
  <si>
    <t>DM_INLINE_NETWORK_26</t>
  </si>
  <si>
    <t>DM_INLINE_NETWORK_27</t>
  </si>
  <si>
    <t>DM_INLINE_NETWORK_28</t>
  </si>
  <si>
    <t>DM_INLINE_NETWORK_29</t>
  </si>
  <si>
    <t>DM_INLINE_NETWORK_30</t>
  </si>
  <si>
    <t>DM_INLINE_NETWORK_31</t>
  </si>
  <si>
    <t>DM_INLINE_NETWORK_33</t>
  </si>
  <si>
    <t xml:space="preserve"> SITE_STAGING_PCIASAv1_Outside_Interface</t>
  </si>
  <si>
    <t xml:space="preserve"> SITE_STAGING_PCIASAv2_Outside_Interface</t>
  </si>
  <si>
    <t xml:space="preserve"> SITE_GXS_IP1</t>
  </si>
  <si>
    <t xml:space="preserve"> SITE_GXS_IP3</t>
  </si>
  <si>
    <t xml:space="preserve"> SITE_GXS_IP2</t>
  </si>
  <si>
    <t xml:space="preserve"> SITE_GXS_IP4</t>
  </si>
  <si>
    <t xml:space="preserve"> PC_VABababekov</t>
  </si>
  <si>
    <t xml:space="preserve"> PC_vJRamirez</t>
  </si>
  <si>
    <t xml:space="preserve"> PC_RMay</t>
  </si>
  <si>
    <t xml:space="preserve"> PC_AnthonyGrande</t>
  </si>
  <si>
    <t xml:space="preserve"> PC_VAGrande</t>
  </si>
  <si>
    <t xml:space="preserve"> PC_VGTanner</t>
  </si>
  <si>
    <t xml:space="preserve"> PC_VSCowden</t>
  </si>
  <si>
    <t xml:space="preserve"> SERVER_Netbrain</t>
  </si>
  <si>
    <t xml:space="preserve"> PC_vTNicholson</t>
  </si>
  <si>
    <t xml:space="preserve"> PC_vJojohnson</t>
  </si>
  <si>
    <t xml:space="preserve"> PC_vALawlor</t>
  </si>
  <si>
    <t xml:space="preserve"> PC_vCSnyder</t>
  </si>
  <si>
    <t xml:space="preserve"> PC_vJMcCarthy</t>
  </si>
  <si>
    <t xml:space="preserve"> PC_vRMarsh</t>
  </si>
  <si>
    <t xml:space="preserve"> PC_BWilliford</t>
  </si>
  <si>
    <t xml:space="preserve"> PC_EGreen</t>
  </si>
  <si>
    <t xml:space="preserve"> PC_KDerry</t>
  </si>
  <si>
    <t xml:space="preserve"> PC_MiriamNB</t>
  </si>
  <si>
    <t xml:space="preserve"> PC_VJCruz</t>
  </si>
  <si>
    <t xml:space="preserve"> PC_vAVanderKooi</t>
  </si>
  <si>
    <t xml:space="preserve"> PC_vBWade</t>
  </si>
  <si>
    <t xml:space="preserve"> PC_vDAguilar</t>
  </si>
  <si>
    <t xml:space="preserve"> PC_vDZSmith</t>
  </si>
  <si>
    <t xml:space="preserve"> PC_vEGreen</t>
  </si>
  <si>
    <t xml:space="preserve"> PC_vGPenrod</t>
  </si>
  <si>
    <t xml:space="preserve"> PC_vISirrine</t>
  </si>
  <si>
    <t xml:space="preserve"> PC_vJIsmail</t>
  </si>
  <si>
    <t xml:space="preserve"> PC_vKDerry</t>
  </si>
  <si>
    <t xml:space="preserve"> PC_vLMontano</t>
  </si>
  <si>
    <t xml:space="preserve"> PC_vMBarrow</t>
  </si>
  <si>
    <t xml:space="preserve"> PC_vNGrande</t>
  </si>
  <si>
    <t xml:space="preserve"> PC_vNWagers</t>
  </si>
  <si>
    <t xml:space="preserve"> PC_vRHoner</t>
  </si>
  <si>
    <t xml:space="preserve"> PC_vSKnudsen</t>
  </si>
  <si>
    <t xml:space="preserve"> PC_vSMattson</t>
  </si>
  <si>
    <t xml:space="preserve"> PC_vTCarter</t>
  </si>
  <si>
    <t xml:space="preserve"> PC_vVVeric</t>
  </si>
  <si>
    <t xml:space="preserve"> PC_vZTaverez</t>
  </si>
  <si>
    <t xml:space="preserve"> PC_vKMcAdams</t>
  </si>
  <si>
    <t xml:space="preserve"> PC_vMRoblesvillar</t>
  </si>
  <si>
    <t xml:space="preserve"> PC_vLMagana</t>
  </si>
  <si>
    <t xml:space="preserve"> PC_vCLawlor</t>
  </si>
  <si>
    <t xml:space="preserve"> PC_vBBonneau</t>
  </si>
  <si>
    <t xml:space="preserve"> PC_vJSperry</t>
  </si>
  <si>
    <t xml:space="preserve"> SITE_STAGING_PCIASAv_Crush_DATA1</t>
  </si>
  <si>
    <t xml:space="preserve"> SITE_STAGING_PCIASAv_Crush_DATA2</t>
  </si>
  <si>
    <t xml:space="preserve"> SITE_STAGING_PCIASAv_Crush_DATA_VIP</t>
  </si>
  <si>
    <t xml:space="preserve"> SERVER_CRUSHINTERNAL_2_STAGING_122</t>
  </si>
  <si>
    <t xml:space="preserve"> SERVER_CRUSHINTERNAL_1_STAGING_122</t>
  </si>
  <si>
    <t xml:space="preserve"> SERVER_CRUSHINTERNAL_VIP_STAGING_122</t>
  </si>
  <si>
    <t xml:space="preserve"> PC_vCMartinez</t>
  </si>
  <si>
    <t xml:space="preserve"> PC_vLVera</t>
  </si>
  <si>
    <t xml:space="preserve"> PC_vPGeorge</t>
  </si>
  <si>
    <t xml:space="preserve"> PC_vRFleetwood</t>
  </si>
  <si>
    <t xml:space="preserve"> PC_vBAlmazan</t>
  </si>
  <si>
    <t xml:space="preserve"> PC_vCJones</t>
  </si>
  <si>
    <t xml:space="preserve"> PC_vVMirkovic</t>
  </si>
  <si>
    <t xml:space="preserve"> PC_vSOlson</t>
  </si>
  <si>
    <t xml:space="preserve"> PC_vJCone</t>
  </si>
  <si>
    <t xml:space="preserve"> PC_vCTSosie</t>
  </si>
  <si>
    <t xml:space="preserve"> PC_vMRoblesVillar</t>
  </si>
  <si>
    <t xml:space="preserve"> PC_vJFSmith</t>
  </si>
  <si>
    <t xml:space="preserve"> PC_vJBOcampo</t>
  </si>
  <si>
    <t xml:space="preserve"> PC_vMLeedy</t>
  </si>
  <si>
    <t xml:space="preserve"> PC_VRBabcock</t>
  </si>
  <si>
    <t xml:space="preserve"> PC_RMcPherson</t>
  </si>
  <si>
    <t xml:space="preserve"> PC_vMWelch</t>
  </si>
  <si>
    <t xml:space="preserve"> PC_vTKimmel</t>
  </si>
  <si>
    <t xml:space="preserve"> PC_vSBunting</t>
  </si>
  <si>
    <t xml:space="preserve"> PC_vMSirrine</t>
  </si>
  <si>
    <t xml:space="preserve"> PC_vEBuckeye</t>
  </si>
  <si>
    <t xml:space="preserve"> PS_vJJohnson</t>
  </si>
  <si>
    <t xml:space="preserve"> PC_vCIllig</t>
  </si>
  <si>
    <t xml:space="preserve"> PC_vDHall</t>
  </si>
  <si>
    <t xml:space="preserve"> PC_vMOchoa</t>
  </si>
  <si>
    <t xml:space="preserve"> PC_vLAguilar</t>
  </si>
  <si>
    <t xml:space="preserve"> PC_EgreenLaptop</t>
  </si>
  <si>
    <t xml:space="preserve"> PC_vSHaler</t>
  </si>
  <si>
    <t xml:space="preserve"> PC_vBWilliford</t>
  </si>
  <si>
    <t xml:space="preserve"> PC_EgreenSurface</t>
  </si>
  <si>
    <t xml:space="preserve"> PC_vJSherman</t>
  </si>
  <si>
    <t xml:space="preserve"> PC_vCTsosie</t>
  </si>
  <si>
    <t xml:space="preserve"> PC_vDGoit</t>
  </si>
  <si>
    <t xml:space="preserve"> SITE_GERC_IP1</t>
  </si>
  <si>
    <t xml:space="preserve"> SITE_GERC_IP2</t>
  </si>
  <si>
    <t xml:space="preserve"> SITE_SEMPRA_IP1</t>
  </si>
  <si>
    <t xml:space="preserve"> PC_KOgden</t>
  </si>
  <si>
    <t xml:space="preserve"> PC_vRMcCracken</t>
  </si>
  <si>
    <t xml:space="preserve"> SITE_PSEG_IP1</t>
  </si>
  <si>
    <t xml:space="preserve"> PC_GYurkiw</t>
  </si>
  <si>
    <t xml:space="preserve"> SERVER_SQLAPPS_IOP</t>
  </si>
  <si>
    <t xml:space="preserve"> PC_vSToth</t>
  </si>
  <si>
    <t xml:space="preserve"> PC_vRRama</t>
  </si>
  <si>
    <t xml:space="preserve"> PC_vSRufle</t>
  </si>
  <si>
    <t xml:space="preserve"> PC_vMGaxiola</t>
  </si>
  <si>
    <t xml:space="preserve"> PC_vAGHerrera</t>
  </si>
  <si>
    <t xml:space="preserve"> PC_vAOlatunji</t>
  </si>
  <si>
    <t xml:space="preserve"> PC_vKevinOgden</t>
  </si>
  <si>
    <t xml:space="preserve"> PC_vJGraham</t>
  </si>
  <si>
    <t xml:space="preserve"> PC_vMMalangoini</t>
  </si>
  <si>
    <t xml:space="preserve"> PC_vJAcatlin</t>
  </si>
  <si>
    <t xml:space="preserve"> PC_vSUpadhaya</t>
  </si>
  <si>
    <t xml:space="preserve"> PC_vJPTing</t>
  </si>
  <si>
    <t xml:space="preserve"> SITE_BPW_IP1</t>
  </si>
  <si>
    <t xml:space="preserve"> SITE_SUNDANCE_IP1</t>
  </si>
  <si>
    <t xml:space="preserve"> SITE_SUNDANCE_IP2</t>
  </si>
  <si>
    <t xml:space="preserve"> SITE_SUNDANCE_IP3</t>
  </si>
  <si>
    <t xml:space="preserve"> SITE_SUNDANCE_IP4</t>
  </si>
  <si>
    <t xml:space="preserve"> SITE_TRICOM_IP1</t>
  </si>
  <si>
    <t xml:space="preserve"> SITE_TRICOM_IP2</t>
  </si>
  <si>
    <t xml:space="preserve"> SITE_PGE_IP1</t>
  </si>
  <si>
    <t xml:space="preserve"> SITE_PGE_IP2</t>
  </si>
  <si>
    <t xml:space="preserve"> SITE_SCE_IP_1</t>
  </si>
  <si>
    <t xml:space="preserve"> SITE_SCE_IP_2</t>
  </si>
  <si>
    <t xml:space="preserve"> SITE_SCE_IP_3</t>
  </si>
  <si>
    <t xml:space="preserve"> SITE_SCE_IP_4</t>
  </si>
  <si>
    <t xml:space="preserve"> SITE_SCE_IP_5</t>
  </si>
  <si>
    <t xml:space="preserve"> SITE_SCE_IP6</t>
  </si>
  <si>
    <t xml:space="preserve"> SITE_SCE_IP7</t>
  </si>
  <si>
    <t xml:space="preserve"> SITE_SCE_IP8</t>
  </si>
  <si>
    <t xml:space="preserve"> SITE_SCE_IP_10</t>
  </si>
  <si>
    <t xml:space="preserve"> SITE_SCE_IP_11</t>
  </si>
  <si>
    <t xml:space="preserve"> SITE_SCE_IP_12</t>
  </si>
  <si>
    <t xml:space="preserve"> SITE_SCE_IP_13</t>
  </si>
  <si>
    <t xml:space="preserve"> SITE_SCE_IP_9</t>
  </si>
  <si>
    <t xml:space="preserve"> SITE_WELLSFARGO_IP1</t>
  </si>
  <si>
    <t xml:space="preserve"> SITE_WELLSFARGO_IP2</t>
  </si>
  <si>
    <t xml:space="preserve"> SITE_WELLSFARGO_IP3</t>
  </si>
  <si>
    <t xml:space="preserve"> SITE_WELLSFARGO_IP4</t>
  </si>
  <si>
    <t xml:space="preserve"> SITE_NATIONALGRID_IP01</t>
  </si>
  <si>
    <t xml:space="preserve"> SITE_NATIONALGRID_IP02</t>
  </si>
  <si>
    <t xml:space="preserve"> SITE_NATIONALGRID_IP03</t>
  </si>
  <si>
    <t xml:space="preserve"> SITE_NATIONALGRID_IP04</t>
  </si>
  <si>
    <t xml:space="preserve"> SITE_NATIONALGRID_IP05</t>
  </si>
  <si>
    <t xml:space="preserve"> SITE_NATIONALGRID_IP06</t>
  </si>
  <si>
    <t xml:space="preserve"> SITE_NATIONALGRID_IP07</t>
  </si>
  <si>
    <t xml:space="preserve"> SITE_NATIONALGRID_IP08</t>
  </si>
  <si>
    <t xml:space="preserve"> SITE_RCI_IP1</t>
  </si>
  <si>
    <t xml:space="preserve"> SITE_RCI_IP2</t>
  </si>
  <si>
    <t xml:space="preserve"> SITE_RCI_IP3</t>
  </si>
  <si>
    <t xml:space="preserve"> SITE_RCI_IP4</t>
  </si>
  <si>
    <t xml:space="preserve"> NETWORK_RCI_Range1</t>
  </si>
  <si>
    <t xml:space="preserve"> NETWORK_RCI_Range2</t>
  </si>
  <si>
    <t xml:space="preserve"> NETWORK_RCI_Range3</t>
  </si>
  <si>
    <t xml:space="preserve"> FIREWALL_IOP_WAN_PROD</t>
  </si>
  <si>
    <t xml:space="preserve"> FIREWALL_IOS_WAN_PROD</t>
  </si>
  <si>
    <t xml:space="preserve"> SITE_SEMPRA_SFTP</t>
  </si>
  <si>
    <t xml:space="preserve"> CLIENT_COX_15MB</t>
  </si>
  <si>
    <t xml:space="preserve"> SITE_UScredit_IP1</t>
  </si>
  <si>
    <t xml:space="preserve"> Test_MX_Crush</t>
  </si>
  <si>
    <t xml:space="preserve"> SITE_Javier_Home</t>
  </si>
  <si>
    <t xml:space="preserve"> SITE_RCILATAM_01</t>
  </si>
  <si>
    <t xml:space="preserve"> SITE_DZBANK_01</t>
  </si>
  <si>
    <t xml:space="preserve"> SITE_DZBank_02</t>
  </si>
  <si>
    <t xml:space="preserve"> SITE_MeadowLake_01</t>
  </si>
  <si>
    <t xml:space="preserve"> PC_vJJohnson</t>
  </si>
  <si>
    <t xml:space="preserve"> PC_VOlatunji</t>
  </si>
  <si>
    <t xml:space="preserve"> SITE_STAGING_PCIASAv_WebServicesPCIDMZ1</t>
  </si>
  <si>
    <t xml:space="preserve"> SITE_STAGING_PCIASAv_WebServicesPCIDMZ2</t>
  </si>
  <si>
    <t xml:space="preserve"> CLIENT_SUMMERBAY_IP1</t>
  </si>
  <si>
    <t xml:space="preserve"> SITE_Google_DNS</t>
  </si>
  <si>
    <t xml:space="preserve"> SITE_Google_DNS2</t>
  </si>
  <si>
    <t xml:space="preserve"> SITE_OpenDNS</t>
  </si>
  <si>
    <t xml:space="preserve"> PC_vBLopez</t>
  </si>
  <si>
    <t xml:space="preserve"> PC_VMPirie</t>
  </si>
  <si>
    <t xml:space="preserve"> PC_vRMay</t>
  </si>
  <si>
    <t xml:space="preserve"> PC_vDKretz</t>
  </si>
  <si>
    <t xml:space="preserve"> PC_vJAparicio</t>
  </si>
  <si>
    <t xml:space="preserve"> PC_vAVillareal</t>
  </si>
  <si>
    <t xml:space="preserve"> PC_vAVillarreal</t>
  </si>
  <si>
    <t xml:space="preserve"> SITE_COSTAMEX_WebService</t>
  </si>
  <si>
    <t xml:space="preserve"> SITE_COSTAMEX_WebService1</t>
  </si>
  <si>
    <t xml:space="preserve"> CLIENT_IBEROSTAR_1</t>
  </si>
  <si>
    <t xml:space="preserve"> CLIENT_IBEROSTAR_2</t>
  </si>
  <si>
    <t xml:space="preserve"> CLIENT_IBEROSTAR_3</t>
  </si>
  <si>
    <t xml:space="preserve"> CLIENT_IBEROSTAR_4</t>
  </si>
  <si>
    <t xml:space="preserve"> NETWORK_Incapsula_IP1</t>
  </si>
  <si>
    <t xml:space="preserve"> NETWORK_Incapsula_IP2</t>
  </si>
  <si>
    <t xml:space="preserve"> NETWORK_Incapsula_IP3</t>
  </si>
  <si>
    <t xml:space="preserve"> NETWORK_Incapsula_IP4</t>
  </si>
  <si>
    <t xml:space="preserve"> NETWORK_Incapsula_IP5</t>
  </si>
  <si>
    <t xml:space="preserve"> NETWORK_Incapsula_IP6</t>
  </si>
  <si>
    <t xml:space="preserve"> NETWORK_Incapsula_IP7</t>
  </si>
  <si>
    <t xml:space="preserve"> NETWORK_Incapsula_IP8</t>
  </si>
  <si>
    <t xml:space="preserve"> NETWORK_Incapsula_IP10</t>
  </si>
  <si>
    <t xml:space="preserve"> NETWORK_Incapsula_IP9</t>
  </si>
  <si>
    <t xml:space="preserve"> SITE_sundance_FQDN_test-dataexchange.usesam.com</t>
  </si>
  <si>
    <t xml:space="preserve"> SITE_sundance_test-dataexchange.iusesam.com</t>
  </si>
  <si>
    <t xml:space="preserve"> SERVER_RABBITMQ1_STAGING_122</t>
  </si>
  <si>
    <t xml:space="preserve"> SERVER_RABBITMQ2_STAGING_122</t>
  </si>
  <si>
    <t xml:space="preserve"> PC_vEJPerez</t>
  </si>
  <si>
    <t xml:space="preserve"> PC_vGNesmith</t>
  </si>
  <si>
    <t xml:space="preserve"> PC_vJOlvera</t>
  </si>
  <si>
    <t xml:space="preserve"> PC_vASotelo</t>
  </si>
  <si>
    <t xml:space="preserve"> PC_vCRodriguez</t>
  </si>
  <si>
    <t xml:space="preserve"> PC_vDRevelo</t>
  </si>
  <si>
    <t xml:space="preserve"> PC_vDSegura</t>
  </si>
  <si>
    <t xml:space="preserve"> PC_vIGutierrez</t>
  </si>
  <si>
    <t xml:space="preserve"> PC_vSIturbide</t>
  </si>
  <si>
    <t xml:space="preserve"> PC_vJmontoya</t>
  </si>
  <si>
    <t xml:space="preserve"> SITE_Paymetric_QA_XIIntercept</t>
  </si>
  <si>
    <t xml:space="preserve"> SITE_Paymetric_QA_XIPay</t>
  </si>
  <si>
    <t xml:space="preserve"> CLIENT_ClubExploria_IP</t>
  </si>
  <si>
    <t xml:space="preserve"> SITE_STAGING_PCIASAv_Crush_DMZ1</t>
  </si>
  <si>
    <t xml:space="preserve"> SITE_STAGING_PCIASAv_Crush_DMZ2</t>
  </si>
  <si>
    <t xml:space="preserve"> SITE_STAGING_PCIASAv_Crush_DMZ_VIP</t>
  </si>
  <si>
    <t xml:space="preserve"> SITE_Qualys_SOC1</t>
  </si>
  <si>
    <t xml:space="preserve"> SITE_Qualys_SOC2</t>
  </si>
  <si>
    <t xml:space="preserve"> CLIENT_MARRIOT_IP1</t>
  </si>
  <si>
    <t xml:space="preserve"> CLIENT_MARRIOT_IP10</t>
  </si>
  <si>
    <t xml:space="preserve"> CLIENT_MARRIOT_IP11</t>
  </si>
  <si>
    <t xml:space="preserve"> CLIENT_MARRIOT_IP2</t>
  </si>
  <si>
    <t xml:space="preserve"> CLIENT_MARRIOT_IP3</t>
  </si>
  <si>
    <t xml:space="preserve"> CLIENT_MARRIOT_IP4</t>
  </si>
  <si>
    <t xml:space="preserve"> CLIENT_MARRIOT_IP5</t>
  </si>
  <si>
    <t xml:space="preserve"> CLIENT_MARRIOT_IP6</t>
  </si>
  <si>
    <t xml:space="preserve"> CLIENT_MARRIOT_IP7</t>
  </si>
  <si>
    <t xml:space="preserve"> CLIENT_MARRIOT_IP8</t>
  </si>
  <si>
    <t xml:space="preserve"> CLIENT_MARRIOT_IP9</t>
  </si>
  <si>
    <t xml:space="preserve"> CLIENT_MARRIOTT_IP12</t>
  </si>
  <si>
    <t xml:space="preserve"> CLIENT_WELK_NETWORK</t>
  </si>
  <si>
    <t xml:space="preserve"> CLIENT_WELK_TESTSERVER</t>
  </si>
  <si>
    <t xml:space="preserve"> CLIENT_WELK_WEBSERVICE_FQDN</t>
  </si>
  <si>
    <t xml:space="preserve"> CLIENT_WELK_WEBSERVICE_IP</t>
  </si>
  <si>
    <t xml:space="preserve"> SERVER_FTPSERVERCSC_STAGING_122</t>
  </si>
  <si>
    <t xml:space="preserve"> SERVER_SQLIOS_STAGING_122</t>
  </si>
  <si>
    <t xml:space="preserve"> SERVER_WEBSERVICESEXT_STAGING_122</t>
  </si>
  <si>
    <t xml:space="preserve"> SERVER_DCIOP</t>
  </si>
  <si>
    <t xml:space="preserve"> SERVER_DCIOS1_OUTSIDE_IOPDMZ</t>
  </si>
  <si>
    <t xml:space="preserve"> SITE_Paypal_Test1</t>
  </si>
  <si>
    <t xml:space="preserve"> SITE_Paypal_Test2</t>
  </si>
  <si>
    <t xml:space="preserve"> ftp</t>
  </si>
  <si>
    <t xml:space="preserve"> ssh</t>
  </si>
  <si>
    <t xml:space="preserve"> www</t>
  </si>
  <si>
    <t xml:space="preserve"> https</t>
  </si>
  <si>
    <t xml:space="preserve"> nfs</t>
  </si>
  <si>
    <t xml:space="preserve"> sunrpc</t>
  </si>
  <si>
    <t xml:space="preserve"> snmp</t>
  </si>
  <si>
    <t xml:space="preserve"> snmptrap</t>
  </si>
  <si>
    <t xml:space="preserve"> range 10000 64000</t>
  </si>
  <si>
    <t xml:space="preserve"> range 4901 4905</t>
  </si>
  <si>
    <t>host 192.168.201.132</t>
  </si>
  <si>
    <t>host 10.122.0.11</t>
  </si>
  <si>
    <t>host 10.122.0.153</t>
  </si>
  <si>
    <t>host 10.122.0.44</t>
  </si>
  <si>
    <t>host 192.168.201.230</t>
  </si>
  <si>
    <t>host 10.122.0.131</t>
  </si>
  <si>
    <t>host 10.122.0.10</t>
  </si>
  <si>
    <t>host 10.122.0.30</t>
  </si>
  <si>
    <t>host 10.122.0.40</t>
  </si>
  <si>
    <t>range 10.123.0.0 255.255.0.0</t>
  </si>
  <si>
    <t>host 10.148.0.1</t>
  </si>
  <si>
    <t>host 192.168.201.20</t>
  </si>
  <si>
    <t>host 10.122.0.130</t>
  </si>
  <si>
    <t>host 10.148.0.250</t>
  </si>
  <si>
    <t>host 10.148.0.61</t>
  </si>
  <si>
    <t>host 10.148.0.11</t>
  </si>
  <si>
    <t>subnet 192.168.200.0 255.255.252.0</t>
  </si>
  <si>
    <t>subnet 10.122.0.0 255.255.0.0</t>
  </si>
  <si>
    <t>host 10.148.0.131</t>
  </si>
  <si>
    <t>host 10.148.0.10</t>
  </si>
  <si>
    <t>host 10.148.0.30</t>
  </si>
  <si>
    <t>host 10.148.0.40</t>
  </si>
  <si>
    <t>host 10.148.0.20</t>
  </si>
  <si>
    <t>host 10.148.0.130</t>
  </si>
  <si>
    <t>host 10.123.10.169</t>
  </si>
  <si>
    <t>host 10.123.11.137</t>
  </si>
  <si>
    <t>host 10.123.10.73</t>
  </si>
  <si>
    <t>host 10.128.10.120</t>
  </si>
  <si>
    <t>host 10.128.10.84</t>
  </si>
  <si>
    <t>host 10.128.10.76</t>
  </si>
  <si>
    <t>host 10.128.10.89</t>
  </si>
  <si>
    <t>host 10.128.10.247</t>
  </si>
  <si>
    <t>host 10.128.10.250</t>
  </si>
  <si>
    <t>host 192.168.204.161</t>
  </si>
  <si>
    <t>host 192.168.201.161</t>
  </si>
  <si>
    <t>host 208.67.222.222</t>
  </si>
  <si>
    <t>host 8.8.8.8</t>
  </si>
  <si>
    <t>host 10.148.0.254</t>
  </si>
  <si>
    <t>host 72.44.200.188</t>
  </si>
  <si>
    <t>host 69.71.60.252</t>
  </si>
  <si>
    <t>host 192.168.204.230</t>
  </si>
  <si>
    <t>host 10.148.0.44</t>
  </si>
  <si>
    <t>host 184.185.173.210</t>
  </si>
  <si>
    <t>host 10.123.10.170</t>
  </si>
  <si>
    <t>host 10.123.10.199</t>
  </si>
  <si>
    <t>host 10.128.0.110</t>
  </si>
  <si>
    <t>host 10.122.0.102</t>
  </si>
  <si>
    <t>host 10.148.0.102</t>
  </si>
  <si>
    <t>host 10.128.10.182</t>
  </si>
  <si>
    <t>host 10.128.10.178</t>
  </si>
  <si>
    <t>host 10.128.10.125</t>
  </si>
  <si>
    <t>host 10.128.10.78</t>
  </si>
  <si>
    <t>host 10.128.10.104</t>
  </si>
  <si>
    <t>host 10.128.10.11</t>
  </si>
  <si>
    <t>host 10.128.10.255</t>
  </si>
  <si>
    <t>host 10.128.10.157</t>
  </si>
  <si>
    <t>host 10.148.0.133</t>
  </si>
  <si>
    <t>host 10.128.10.172</t>
  </si>
  <si>
    <t>host 10.128.10.102</t>
  </si>
  <si>
    <t>host 10.128.10.135</t>
  </si>
  <si>
    <t>host 10.148.0.17</t>
  </si>
  <si>
    <t>host 10.122.0.17</t>
  </si>
  <si>
    <t>host 8.8.4.4</t>
  </si>
  <si>
    <t>host 10.128.0.177</t>
  </si>
  <si>
    <t>host 10.128.10.29</t>
  </si>
  <si>
    <t>host 10.128.10.230</t>
  </si>
  <si>
    <t>host 10.128.10.154</t>
  </si>
  <si>
    <t>host 10.128.10.232</t>
  </si>
  <si>
    <t>host 10.128.10.47</t>
  </si>
  <si>
    <t>host 10.128.10.12</t>
  </si>
  <si>
    <t>host 10.128.10.252</t>
  </si>
  <si>
    <t>host 10.128.10.193</t>
  </si>
  <si>
    <t>host 10.128.10.22</t>
  </si>
  <si>
    <t>host 10.128.10.220</t>
  </si>
  <si>
    <t>host 192.168.201.167</t>
  </si>
  <si>
    <t>host 192.168.204.167</t>
  </si>
  <si>
    <t>host 10.122.0.37</t>
  </si>
  <si>
    <t>host 10.148.0.37</t>
  </si>
  <si>
    <t>host 10.128.10.166</t>
  </si>
  <si>
    <t>host 10.128.10.171</t>
  </si>
  <si>
    <t>host 10.128.10.131</t>
  </si>
  <si>
    <t>host 192.168.201.169</t>
  </si>
  <si>
    <t>host 192.168.204.169</t>
  </si>
  <si>
    <t>host 10.128.10.144</t>
  </si>
  <si>
    <t>host 189.204.37.171</t>
  </si>
  <si>
    <t>fqdn v4 webservcsc.royal-holiday.com</t>
  </si>
  <si>
    <t>host 10.128.10.108</t>
  </si>
  <si>
    <t>host 70.168.63.194</t>
  </si>
  <si>
    <t>fqdn v4 ownerslounge.welkresorts.com</t>
  </si>
  <si>
    <t>host 70.168.63.217</t>
  </si>
  <si>
    <t>host 10.148.0.48</t>
  </si>
  <si>
    <t>host 10.122.0.48</t>
  </si>
  <si>
    <t>host 70.168.63.230</t>
  </si>
  <si>
    <t>host 10.148.0.111</t>
  </si>
  <si>
    <t>host 10.122.0.111</t>
  </si>
  <si>
    <t>subnet 54.239.16.0 255.255.240.0</t>
  </si>
  <si>
    <t>host 10.123.11.32</t>
  </si>
  <si>
    <t>host 10.128.10.140</t>
  </si>
  <si>
    <t>host 10.123.10.105</t>
  </si>
  <si>
    <t>range 64.39.96.1 64.39.111.254</t>
  </si>
  <si>
    <t>range 62.210.136.129 62.210.136.254</t>
  </si>
  <si>
    <t>host 10.148.0.222</t>
  </si>
  <si>
    <t>host 192.168.204.134</t>
  </si>
  <si>
    <t>host 192.168.202.134</t>
  </si>
  <si>
    <t>host 192.168.202.128</t>
  </si>
  <si>
    <t>host 192.212.253.9</t>
  </si>
  <si>
    <t>host 192.212.253.10</t>
  </si>
  <si>
    <t>host 192.212.136.62</t>
  </si>
  <si>
    <t>host 192.212.136.63</t>
  </si>
  <si>
    <t>host 108.0.194.63</t>
  </si>
  <si>
    <t>host 161.209.206.1</t>
  </si>
  <si>
    <t>host 10.148.0.43</t>
  </si>
  <si>
    <t>host 10.122.0.65</t>
  </si>
  <si>
    <t>host 10.148.0.63</t>
  </si>
  <si>
    <t>host 10.148.0.64</t>
  </si>
  <si>
    <t>host 10.122.0.63</t>
  </si>
  <si>
    <t>host 10.122.0.64</t>
  </si>
  <si>
    <t>host 84.124.26.186</t>
  </si>
  <si>
    <t>host 46.24.16.66</t>
  </si>
  <si>
    <t>host 212.145.135.100</t>
  </si>
  <si>
    <t>host 148.223.208.231</t>
  </si>
  <si>
    <t>host 199.83.129.92</t>
  </si>
  <si>
    <t>host 10.148.0.243</t>
  </si>
  <si>
    <t>host 10.128.10.158</t>
  </si>
  <si>
    <t>host 10.128.10.113</t>
  </si>
  <si>
    <t>host 10.128.10.134</t>
  </si>
  <si>
    <t>host 10.148.0.246</t>
  </si>
  <si>
    <t>host 192.168.202.153</t>
  </si>
  <si>
    <t>host 10.148.0.223</t>
  </si>
  <si>
    <t>host 192.168.202.129</t>
  </si>
  <si>
    <t>host 192.168.202.130</t>
  </si>
  <si>
    <t>host 131.89.227.14</t>
  </si>
  <si>
    <t>host 131.89.227.15</t>
  </si>
  <si>
    <t>host 10.122.0.43</t>
  </si>
  <si>
    <t>host 10.148.0.65</t>
  </si>
  <si>
    <t>host 192.168.202.131</t>
  </si>
  <si>
    <t>host 104.236.78.254</t>
  </si>
  <si>
    <t>host 192.168.202.132</t>
  </si>
  <si>
    <t>host 192.168.202.133</t>
  </si>
  <si>
    <t>host 192.168.202.138</t>
  </si>
  <si>
    <t>host 192.168.202.141</t>
  </si>
  <si>
    <t>host 192.168.202.142</t>
  </si>
  <si>
    <t>host 192.168.202.135</t>
  </si>
  <si>
    <t>host 192.168.202.136</t>
  </si>
  <si>
    <t>host 10.148.0.244</t>
  </si>
  <si>
    <t>host 10.148.0.245</t>
  </si>
  <si>
    <t>host 192.168.202.143</t>
  </si>
  <si>
    <t>host 65.163.245.78</t>
  </si>
  <si>
    <t>host 192.168.202.144</t>
  </si>
  <si>
    <t>host 192.168.202.145</t>
  </si>
  <si>
    <t>host 10.122.0.66</t>
  </si>
  <si>
    <t>subnet 199.83.128.0 255.255.248.0</t>
  </si>
  <si>
    <t>subnet 198.143.32.0 255.255.224.0</t>
  </si>
  <si>
    <t>subnet 149.126.72.0 255.255.248.0</t>
  </si>
  <si>
    <t>subnet 103.28.248.0 255.255.252.0</t>
  </si>
  <si>
    <t>subnet 45.64.64.0 255.255.252.0</t>
  </si>
  <si>
    <t>subnet 192.230.64.0 255.255.192.0</t>
  </si>
  <si>
    <t>subnet 185.11.124.0 255.255.252.0</t>
  </si>
  <si>
    <t>host 192.168.202.146</t>
  </si>
  <si>
    <t>host 10.148.0.248</t>
  </si>
  <si>
    <t>host 192.168.202.147</t>
  </si>
  <si>
    <t>host 192.168.202.148</t>
  </si>
  <si>
    <t>host 204.90.130.93</t>
  </si>
  <si>
    <t>host 204.90.130.195</t>
  </si>
  <si>
    <t>host 204.90.230.166</t>
  </si>
  <si>
    <t>host 167.124.112.134</t>
  </si>
  <si>
    <t>host 66.162.239.134</t>
  </si>
  <si>
    <t>host 12.177.4.134</t>
  </si>
  <si>
    <t>host 68.38.33.164</t>
  </si>
  <si>
    <t>host 113.38.9.107</t>
  </si>
  <si>
    <t>host 204.90.130.26</t>
  </si>
  <si>
    <t>host 10.128.10.206</t>
  </si>
  <si>
    <t>subnet 107.154.0.0 255.255.0.0</t>
  </si>
  <si>
    <t>host 10.148.0.66</t>
  </si>
  <si>
    <t>host 10.148.0.224</t>
  </si>
  <si>
    <t>host 10.148.0.225</t>
  </si>
  <si>
    <t>host 10.128.10.162</t>
  </si>
  <si>
    <t>host 192.168.202.149</t>
  </si>
  <si>
    <t>host 10.128.10.168</t>
  </si>
  <si>
    <t>host 10.128.10.167</t>
  </si>
  <si>
    <t>host 192.213.103.149</t>
  </si>
  <si>
    <t>host 172.28.17.112</t>
  </si>
  <si>
    <t>host 172.28.0.93</t>
  </si>
  <si>
    <t>host 192.212.245.17</t>
  </si>
  <si>
    <t>host 192.212.245.20</t>
  </si>
  <si>
    <t>host 192.213.140.29</t>
  </si>
  <si>
    <t>host 192.213.140.30</t>
  </si>
  <si>
    <t>host 192.168.202.137</t>
  </si>
  <si>
    <t>host 10.128.10.209</t>
  </si>
  <si>
    <t>host 10.128.10.62</t>
  </si>
  <si>
    <t>host 10.128.10.67</t>
  </si>
  <si>
    <t>host 10.128.10.156</t>
  </si>
  <si>
    <t>host 10.128.10.175</t>
  </si>
  <si>
    <t>host 10.128.10.239</t>
  </si>
  <si>
    <t>host 10.128.10.45</t>
  </si>
  <si>
    <t>host 192.168.202.150</t>
  </si>
  <si>
    <t>host 10.123.11.96</t>
  </si>
  <si>
    <t>host 10.128.10.15</t>
  </si>
  <si>
    <t>host 10.128.10.152</t>
  </si>
  <si>
    <t>host 10.128.10.70</t>
  </si>
  <si>
    <t>host 10.128.10.39</t>
  </si>
  <si>
    <t>host 65.163.245.90</t>
  </si>
  <si>
    <t>host 10.128.10.115</t>
  </si>
  <si>
    <t>host 10.128.10.49</t>
  </si>
  <si>
    <t>host 10.128.10.64</t>
  </si>
  <si>
    <t>host 10.128.10.86</t>
  </si>
  <si>
    <t>host 50.204.183.114</t>
  </si>
  <si>
    <t>host 209.145.82.98</t>
  </si>
  <si>
    <t>host 10.148.0.247</t>
  </si>
  <si>
    <t>host 10.128.10.121</t>
  </si>
  <si>
    <t xml:space="preserve">service tcp source range 1 65535 destination eq 20022 </t>
  </si>
  <si>
    <t>host 192.168.202.231</t>
  </si>
  <si>
    <t>host 10.128.0.130</t>
  </si>
  <si>
    <t>host 10.128.10.205</t>
  </si>
  <si>
    <t>host 192.168.202.154</t>
  </si>
  <si>
    <t>host 192.168.204.154</t>
  </si>
  <si>
    <t>host 10.128.10.117</t>
  </si>
  <si>
    <t>host 10.128.10.139</t>
  </si>
  <si>
    <t>host 192.168.202.151</t>
  </si>
  <si>
    <t>host 10.128.10.16</t>
  </si>
  <si>
    <t>fqdn v4 crushftp.com</t>
  </si>
  <si>
    <t>host 10.128.10.105</t>
  </si>
  <si>
    <t>host 65.163.245.88</t>
  </si>
  <si>
    <t>range 192.30.252.153 192.30.252.154</t>
  </si>
  <si>
    <t>host 8.10.80.98</t>
  </si>
  <si>
    <t>host 65.183.164.155</t>
  </si>
  <si>
    <t>host 192.168.202.155</t>
  </si>
  <si>
    <t>host 10.148.0.249</t>
  </si>
  <si>
    <t>host 192.168.202.156</t>
  </si>
  <si>
    <t>host 10.128.10.147</t>
  </si>
  <si>
    <t>host 151.151.19.131</t>
  </si>
  <si>
    <t>host 151.151.18.38</t>
  </si>
  <si>
    <t>host 151.151.68.67</t>
  </si>
  <si>
    <t>host 151.151.65.195</t>
  </si>
  <si>
    <t>host 209.235.237.215</t>
  </si>
  <si>
    <t>fqdn v4 test-dataexchange.iusesam.com</t>
  </si>
  <si>
    <t>host 10.128.10.42</t>
  </si>
  <si>
    <t>host 10.128.10.87</t>
  </si>
  <si>
    <t>host 10.128.10.163</t>
  </si>
  <si>
    <t>host 212.91.179.82</t>
  </si>
  <si>
    <t>host 10.128.10.155</t>
  </si>
  <si>
    <t>host 10.128.10.207</t>
  </si>
  <si>
    <t>host 10.128.10.99</t>
  </si>
  <si>
    <t>host 10.128.10.187</t>
  </si>
  <si>
    <t>host 10.128.10.236</t>
  </si>
  <si>
    <t>host 10.128.10.91</t>
  </si>
  <si>
    <t>host 74.85.94.32</t>
  </si>
  <si>
    <t>host 74.85.97.26</t>
  </si>
  <si>
    <t>host 10.128.10.18</t>
  </si>
  <si>
    <t>host 10.128.10.103</t>
  </si>
  <si>
    <t>host 10.128.10.114</t>
  </si>
  <si>
    <t>host 69.176.68.178</t>
  </si>
  <si>
    <t>host 209.235.253.82</t>
  </si>
  <si>
    <t>host 209.49.206.132</t>
  </si>
  <si>
    <t>host 10.128.10.176</t>
  </si>
  <si>
    <t>host 50.73.158.165</t>
  </si>
  <si>
    <t>host 63.240.233.252</t>
  </si>
  <si>
    <t>host 148.244.112.138</t>
  </si>
  <si>
    <t>host 206.121.113.46</t>
  </si>
  <si>
    <t>host 12.129.124.29</t>
  </si>
  <si>
    <t>host 12.116.217.237</t>
  </si>
  <si>
    <t>host 212.120.136.66</t>
  </si>
  <si>
    <t>host 203.194.87.66</t>
  </si>
  <si>
    <t>host 42.61.107.50</t>
  </si>
  <si>
    <t>host 118.201.64.146</t>
  </si>
  <si>
    <t>host 63.240.234.118</t>
  </si>
  <si>
    <t>subnet 199.108.197.0 255.255.255.0</t>
  </si>
  <si>
    <t>host 10.148.0.161</t>
  </si>
  <si>
    <t>host 192.168.204.132</t>
  </si>
  <si>
    <t>host 10.148.0.230</t>
  </si>
  <si>
    <t>host 10.148.0.169</t>
  </si>
  <si>
    <t>host 10.148.0.167</t>
  </si>
  <si>
    <t>host 10.148.0.134</t>
  </si>
  <si>
    <t>host 10.148.0.154</t>
  </si>
  <si>
    <t>host 192.168.204.128</t>
  </si>
  <si>
    <t>host 192.168.204.53</t>
  </si>
  <si>
    <t>host 192.168.204.200</t>
  </si>
  <si>
    <t>host 192.168.204.202</t>
  </si>
  <si>
    <t>host 192.168.204.201</t>
  </si>
  <si>
    <t>host 192.168.204.203</t>
  </si>
  <si>
    <t>host 192.168.204.204</t>
  </si>
  <si>
    <t>host 192.168.204.205</t>
  </si>
  <si>
    <t>host 192.168.204.206</t>
  </si>
  <si>
    <t>host 10.128.10.133</t>
  </si>
  <si>
    <t>host 10.128.10.118</t>
  </si>
  <si>
    <t>host 192.168.201.168</t>
  </si>
  <si>
    <t>host 10.148.0.168</t>
  </si>
  <si>
    <t>host 10.123.11.152</t>
  </si>
  <si>
    <t>host 10.148.0.13</t>
  </si>
  <si>
    <t>host 10.122.0.13</t>
  </si>
  <si>
    <t>host 10.128.0.98</t>
  </si>
  <si>
    <t>host 10.128.10.226</t>
  </si>
  <si>
    <t>host 10.128.10.57</t>
  </si>
  <si>
    <t>host 93.184.215.212</t>
  </si>
  <si>
    <t>host 10.128.10.191</t>
  </si>
  <si>
    <t>host 192.168.204.207</t>
  </si>
  <si>
    <t>host 10.123.11.84</t>
  </si>
  <si>
    <t>host 10.123.11.59</t>
  </si>
  <si>
    <t>subnet 45.60.0.0 255.255.0.0</t>
  </si>
  <si>
    <t>subnet 45.223.0.0 255.255.0.0</t>
  </si>
  <si>
    <t>host 10.128.10.54</t>
  </si>
  <si>
    <t>host 192.168.202.157</t>
  </si>
  <si>
    <t>host 10.128.0.104</t>
  </si>
  <si>
    <t>host 10.128.10.24</t>
  </si>
  <si>
    <t>host 10.122.0.148</t>
  </si>
  <si>
    <t>host 10.148.0.148</t>
  </si>
  <si>
    <t>host 10.128.10.165</t>
  </si>
  <si>
    <t>fqdn v4 tlstest.paypal.com</t>
  </si>
  <si>
    <t>fqdn v4 pilot-payflowpro.paypal.com</t>
  </si>
  <si>
    <t>host 10.128.10.60</t>
  </si>
  <si>
    <t>host 10.128.10.231</t>
  </si>
  <si>
    <t>subnet 167.122.5.0 255.255.255.0</t>
  </si>
  <si>
    <t>host 10.128.10.238</t>
  </si>
  <si>
    <t>host 10.128.10.198</t>
  </si>
  <si>
    <t>host 130.57.66.5</t>
  </si>
  <si>
    <t>host 64.238.161.214</t>
  </si>
  <si>
    <t>host 65.209.62.110</t>
  </si>
  <si>
    <t>host 65.196.116.110</t>
  </si>
  <si>
    <t>host 65.196.116.171</t>
  </si>
  <si>
    <t>host 65.209.62.216</t>
  </si>
  <si>
    <t>host 65.196.116.173</t>
  </si>
  <si>
    <t>host 65.209.62.218</t>
  </si>
  <si>
    <t>host 62.190.154.228</t>
  </si>
  <si>
    <t>host 62.190.148.228</t>
  </si>
  <si>
    <t>host 189.207.155.151</t>
  </si>
  <si>
    <t>host 24.251.63.169</t>
  </si>
  <si>
    <t>host 189.204.45.173</t>
  </si>
  <si>
    <t>host 64.213.37.2</t>
  </si>
  <si>
    <t>host 64.213.37.3</t>
  </si>
  <si>
    <t>host 192.168.202.232</t>
  </si>
  <si>
    <t>host 192.168.204.232</t>
  </si>
  <si>
    <t>subnet 148.243.230.0 255.255.255.224</t>
  </si>
  <si>
    <t>subnet 148.243.133.128 255.255.255.224</t>
  </si>
  <si>
    <t>subnet 189.204.45.128 255.255.255.192</t>
  </si>
  <si>
    <t>host 69.144.16.27</t>
  </si>
  <si>
    <t>host 10.128.10.80</t>
  </si>
  <si>
    <t>host 10.128.10.241</t>
  </si>
  <si>
    <t>host 10.128.10.190</t>
  </si>
  <si>
    <t>host 10.128.10.51</t>
  </si>
  <si>
    <t>host 10.128.10.73</t>
  </si>
  <si>
    <t>host 10.128.10.215</t>
  </si>
  <si>
    <t>host 10.128.10.31</t>
  </si>
  <si>
    <t>host 10.128.10.85</t>
  </si>
  <si>
    <t>host 10.128.10.46</t>
  </si>
  <si>
    <t xml:space="preserve"> SERVER_APRES3_LAN_STAGING_DMZ</t>
  </si>
  <si>
    <t xml:space="preserve"> SERVER_CONCORD1_STAGING_122</t>
  </si>
  <si>
    <t xml:space="preserve"> SERVER_DCIOS1_STAGING_122</t>
  </si>
  <si>
    <t xml:space="preserve"> SERVER_FTPSERVERDMZ_STAGING_DMZ</t>
  </si>
  <si>
    <t xml:space="preserve"> SERVER_PHXRPTV_STAGING_122</t>
  </si>
  <si>
    <t xml:space="preserve"> SERVER_PHXV_STAGING_122</t>
  </si>
  <si>
    <t xml:space="preserve"> SERVER_SMTP_STAGING_122</t>
  </si>
  <si>
    <t xml:space="preserve"> NETWORK_CSC_LAN</t>
  </si>
  <si>
    <t xml:space="preserve"> NETWORK_STAGING_NAT_GATEWAY</t>
  </si>
  <si>
    <t xml:space="preserve"> SERVER_SQLState_STAGING_DMZ</t>
  </si>
  <si>
    <t xml:space="preserve"> SERVER_WEBSERVICESIOS_STAGING_122</t>
  </si>
  <si>
    <t xml:space="preserve"> NAT_APres3</t>
  </si>
  <si>
    <t xml:space="preserve"> NAT_CAPSV</t>
  </si>
  <si>
    <t xml:space="preserve"> NAT_Concord1</t>
  </si>
  <si>
    <t xml:space="preserve"> NAT_STAGING_DMZ_to_Outside</t>
  </si>
  <si>
    <t xml:space="preserve"> NAT_STAGING_122_To_Outside</t>
  </si>
  <si>
    <t xml:space="preserve"> NAT_PHXRPTV</t>
  </si>
  <si>
    <t xml:space="preserve"> NAT_PHXV</t>
  </si>
  <si>
    <t xml:space="preserve"> NAT_SMTP</t>
  </si>
  <si>
    <t xml:space="preserve"> NAT_SQLIOS</t>
  </si>
  <si>
    <t xml:space="preserve"> NAT_SQLState</t>
  </si>
  <si>
    <t xml:space="preserve"> NAT_WEBSERICESIOS</t>
  </si>
  <si>
    <t xml:space="preserve"> SITE_CSL_OUTSIDE_IOP_DMZ</t>
  </si>
  <si>
    <t xml:space="preserve"> SITE_STAGING_DMZ_CSL</t>
  </si>
  <si>
    <t xml:space="preserve"> NAT_IOSStaging_Switch</t>
  </si>
  <si>
    <t xml:space="preserve"> SITE_SecureFTPCNV_OUTSIDE_IOSStaging</t>
  </si>
  <si>
    <t xml:space="preserve"> NAT_FTPSERVERCSC</t>
  </si>
  <si>
    <t xml:space="preserve"> SERVER_PHXV_SQLSENTRY_STAGING_122</t>
  </si>
  <si>
    <t xml:space="preserve"> NAT_PHXV_SQLSENTRY</t>
  </si>
  <si>
    <t xml:space="preserve"> NAT_WEBSERVICES1V</t>
  </si>
  <si>
    <t xml:space="preserve"> NAT_PHXWH</t>
  </si>
  <si>
    <t xml:space="preserve"> SERVER_PHXWH_STAGING_122</t>
  </si>
  <si>
    <t xml:space="preserve"> SERVER_CSSProxy_IOP</t>
  </si>
  <si>
    <t xml:space="preserve"> SITE_STAGING_DMZ_MAI</t>
  </si>
  <si>
    <t xml:space="preserve"> SITE_MAI_OUTSIDE_IOPDMZ</t>
  </si>
  <si>
    <t xml:space="preserve"> SERVER_PHXRPTS_STAGING_122</t>
  </si>
  <si>
    <t xml:space="preserve"> NAT_PHXRPTS</t>
  </si>
  <si>
    <t xml:space="preserve"> PC_vJGarcia</t>
  </si>
  <si>
    <t xml:space="preserve"> SITE_STAGING_DMZ_PayBlackwell</t>
  </si>
  <si>
    <t xml:space="preserve"> SITE_PayBlackwell_CSL_OUTSIDE_IOPDMZ</t>
  </si>
  <si>
    <t xml:space="preserve"> SITE_WELK_NETWORK</t>
  </si>
  <si>
    <t xml:space="preserve"> SITE_WELK_WEBSERVICE_1</t>
  </si>
  <si>
    <t xml:space="preserve"> SITE_WELK_WEBSERVICE_2</t>
  </si>
  <si>
    <t xml:space="preserve"> NAT_WEBSERVICESEXT</t>
  </si>
  <si>
    <t xml:space="preserve"> SITE_WELK_TEST_SERVER</t>
  </si>
  <si>
    <t xml:space="preserve"> NAT_SQLAPPSV</t>
  </si>
  <si>
    <t xml:space="preserve"> SERVER_SQLAPPSV_STAGING_122</t>
  </si>
  <si>
    <t xml:space="preserve"> SITE_AMAZONSERVICES</t>
  </si>
  <si>
    <t xml:space="preserve"> NAT_STAGING_PCIASAv1</t>
  </si>
  <si>
    <t xml:space="preserve"> SITE_STAGING_PCIASAv_External_Crush_IOPDMZ</t>
  </si>
  <si>
    <t xml:space="preserve"> NAT_STAGING_CrushInternal1</t>
  </si>
  <si>
    <t xml:space="preserve"> NAT_RABBITMQ1</t>
  </si>
  <si>
    <t xml:space="preserve"> NAT_RABBITMQ2</t>
  </si>
  <si>
    <t xml:space="preserve"> SITE_INCAPSULA_IP</t>
  </si>
  <si>
    <t xml:space="preserve"> NAT_STAGING_CrushData1</t>
  </si>
  <si>
    <t xml:space="preserve"> NAT_STAGING_WebervicesPCIData1</t>
  </si>
  <si>
    <t xml:space="preserve"> NAT_STAGING_PCIASAv2</t>
  </si>
  <si>
    <t xml:space="preserve"> NAT_STAGING_CrushInternal2</t>
  </si>
  <si>
    <t xml:space="preserve"> SITE_CrushFTP</t>
  </si>
  <si>
    <t xml:space="preserve"> SITE_STAGING_PCIASAv_WebServicesPCIDATA1</t>
  </si>
  <si>
    <t xml:space="preserve"> SITE_STAGING_PCIASAv_WebServicesPCIDATA2</t>
  </si>
  <si>
    <t xml:space="preserve"> PAT_PCIASAv_Internal2CrushDataVIP</t>
  </si>
  <si>
    <t xml:space="preserve"> PAT_PCIASAv_Internal2CrushData1</t>
  </si>
  <si>
    <t xml:space="preserve"> NAT_STAGING_CrushData2</t>
  </si>
  <si>
    <t xml:space="preserve"> NAT_STAGING_CrushData_VIP</t>
  </si>
  <si>
    <t xml:space="preserve"> SITE_STAGING_PCIASAv_RabbitMQ1</t>
  </si>
  <si>
    <t xml:space="preserve"> SITE_STAGING_PCIASAv_Crush_Internal_VIP</t>
  </si>
  <si>
    <t xml:space="preserve"> SITE_STAGING_PCIASAv_TokenizerService_PCIData1</t>
  </si>
  <si>
    <t xml:space="preserve"> NAT_STAGING_Tokenizer_PCIData1</t>
  </si>
  <si>
    <t xml:space="preserve"> SITE_STAGING_PCIASAv_TokenizerService_PCIData2</t>
  </si>
  <si>
    <t xml:space="preserve"> SITE_STAGING_PCIASAv_RabbitMQ2</t>
  </si>
  <si>
    <t xml:space="preserve"> SITE_GXS</t>
  </si>
  <si>
    <t xml:space="preserve"> NAT_STAGING_CrushInternal_VIP</t>
  </si>
  <si>
    <t xml:space="preserve"> NAT_PCIASAv1_OUTSIDE_INTERFACE</t>
  </si>
  <si>
    <t xml:space="preserve"> NAT_PCIASAv2_OUTSIDE_INTERFACE</t>
  </si>
  <si>
    <t xml:space="preserve"> SITE_STAGING_PCIASAv_CrushKM</t>
  </si>
  <si>
    <t xml:space="preserve"> PAT_PCIASAv_Internal2CrushData2</t>
  </si>
  <si>
    <t xml:space="preserve"> SITE_STAGING_PCIASAv_Concord1</t>
  </si>
  <si>
    <t xml:space="preserve"> SITE_Paymetric_QA_XISecure</t>
  </si>
  <si>
    <t xml:space="preserve"> NAT_STAGING_WebservicesPCIDMZ1</t>
  </si>
  <si>
    <t xml:space="preserve"> PC_vRMcpherson</t>
  </si>
  <si>
    <t xml:space="preserve"> SITE_STAGING_PCIASAv_Solarwinds</t>
  </si>
  <si>
    <t xml:space="preserve"> SERVER_SolarWinds</t>
  </si>
  <si>
    <t xml:space="preserve"> SITE_STAGING_PCIASA_CSL_PCIDMZ1</t>
  </si>
  <si>
    <t xml:space="preserve"> SITE_STAGING_PCIASA_SERVICESSTAGING_CSL_OUTSIDE</t>
  </si>
  <si>
    <t xml:space="preserve"> SITE_STAGING_PCIASAv_PHXv</t>
  </si>
  <si>
    <t xml:space="preserve"> SITE_CrushFTP_FQDN</t>
  </si>
  <si>
    <t xml:space="preserve"> SITE_UI-GRID.Info</t>
  </si>
  <si>
    <t xml:space="preserve"> SITE_STAGING_PCIASAv_PCIDATA_CSL</t>
  </si>
  <si>
    <t xml:space="preserve"> NAT_STAGING_CSL_PCIDATA1</t>
  </si>
  <si>
    <t xml:space="preserve"> SITE_STAGING_PCIASAv_WebServicesEXT</t>
  </si>
  <si>
    <t xml:space="preserve"> PC_vRZytnik</t>
  </si>
  <si>
    <t xml:space="preserve"> NAT_CSL</t>
  </si>
  <si>
    <t xml:space="preserve"> SERVER_APRES3_LAN_OUTSIDE_IOPDMZ</t>
  </si>
  <si>
    <t xml:space="preserve"> NAT_SecureFTP</t>
  </si>
  <si>
    <t xml:space="preserve"> NAT_PayBlackwell</t>
  </si>
  <si>
    <t xml:space="preserve"> NAT_MAI</t>
  </si>
  <si>
    <t xml:space="preserve"> NAT_CrushDMZ_SFTP</t>
  </si>
  <si>
    <t xml:space="preserve"> NAT_ServicesStaging</t>
  </si>
  <si>
    <t xml:space="preserve"> PAT_PCIASAv_FIREWALLS_IOPDMZ</t>
  </si>
  <si>
    <t xml:space="preserve"> SERVER_FTPSERVERDMZ_OUTSIDE_IOPDMZ</t>
  </si>
  <si>
    <t xml:space="preserve"> SERVER_WEBSERVICESIOS_OUTSIDE_IOPDMZ</t>
  </si>
  <si>
    <t xml:space="preserve"> SERVER_WEBSERVICESPCIDATA1_OUTSIDE_IOPDMZ</t>
  </si>
  <si>
    <t xml:space="preserve"> SERVER_WEBSERVICESEXT_OUTSIDE_IOPDMZ</t>
  </si>
  <si>
    <t xml:space="preserve"> SERVER_WEBSERVICESPCIDMZ1_OUTSIDE_IOPDMZ</t>
  </si>
  <si>
    <t xml:space="preserve"> SERVER_CRUSHINTERNAL_OUTSIDE_IOPDMZ</t>
  </si>
  <si>
    <t xml:space="preserve"> SERVER_CRUSHDATA1_OUTSIDE_IOPDMZ</t>
  </si>
  <si>
    <t xml:space="preserve"> SERVER_CRUSHDMZ1_OUTSIDE_IOPDMZ</t>
  </si>
  <si>
    <t xml:space="preserve"> SITE_STAGING_DMZ_OLDMAI</t>
  </si>
  <si>
    <t xml:space="preserve"> NAT_OLDMAI</t>
  </si>
  <si>
    <t xml:space="preserve"> NAT_STAGING_LDAP</t>
  </si>
  <si>
    <t xml:space="preserve"> SERVER_LDAP</t>
  </si>
  <si>
    <t xml:space="preserve"> SITE_STAGING_PCIASAv_WebServicesPCIDATA1_TEST</t>
  </si>
  <si>
    <t xml:space="preserve"> PC_vCDelarosa</t>
  </si>
  <si>
    <t xml:space="preserve"> SITE_NovellUpdates</t>
  </si>
  <si>
    <t xml:space="preserve"> SERVER_CONCORD1_OUTSIDE_IOPDMZ</t>
  </si>
  <si>
    <t xml:space="preserve"> SITE_STAGING_PCIASAv_IOSPMPCIDMZ</t>
  </si>
  <si>
    <t xml:space="preserve"> SERVER_WEBIO_STAGING_122</t>
  </si>
  <si>
    <t xml:space="preserve"> NAT_WEBIO</t>
  </si>
  <si>
    <t xml:space="preserve"> SITE_Novell</t>
  </si>
  <si>
    <t xml:space="preserve"> SITE_STAGING_PCIASAv_CrushDockerDMZ</t>
  </si>
  <si>
    <t xml:space="preserve"> SERVER_CRUSHDOCKERDMZ_OUTSIDE_IOPDMZ</t>
  </si>
  <si>
    <t xml:space="preserve"> APres3 on Staging_DMZ - AJG</t>
  </si>
  <si>
    <t xml:space="preserve"> Concord1 on Staging_122 -AJG</t>
  </si>
  <si>
    <t xml:space="preserve"> DCIOS1 on Staging_122 - AJG</t>
  </si>
  <si>
    <t xml:space="preserve"> FTPServerCSC for Staging 122 - AJG</t>
  </si>
  <si>
    <t xml:space="preserve"> FTPServerDMZ for Staging DMZ -AJG</t>
  </si>
  <si>
    <t xml:space="preserve"> PHXRPTV for Staging 122 -AJG</t>
  </si>
  <si>
    <t xml:space="preserve"> PHXV for Staging 122 -AJG</t>
  </si>
  <si>
    <t xml:space="preserve"> SMTP for Staging 122 -AJG</t>
  </si>
  <si>
    <t xml:space="preserve"> SQLIOS for Staging 122 -AJG</t>
  </si>
  <si>
    <t xml:space="preserve"> CSC LAN Network for Staging Access -AJG</t>
  </si>
  <si>
    <t xml:space="preserve"> Network Gateway NAT address - AJG</t>
  </si>
  <si>
    <t xml:space="preserve"> SQLState on Staging DMZ -AJG</t>
  </si>
  <si>
    <t xml:space="preserve"> WebServicesIOS on Staging 122 -AJG</t>
  </si>
  <si>
    <t xml:space="preserve"> NAT for APres3 STAGING_NAT - AJG</t>
  </si>
  <si>
    <t xml:space="preserve"> NAT for CAPSV STAGING_NAT -AJG</t>
  </si>
  <si>
    <t xml:space="preserve"> NAT for Concord1 STAGING_NAT - AJG</t>
  </si>
  <si>
    <t xml:space="preserve"> Staging DMZ to Outside PAT -AJG</t>
  </si>
  <si>
    <t xml:space="preserve"> Staging 122 to Outside PAT -AJG</t>
  </si>
  <si>
    <t xml:space="preserve"> Nat for PHXRPTV in STAGING NAT -AJG</t>
  </si>
  <si>
    <t xml:space="preserve"> NAT for PHXV in STAGING NAT -AJG</t>
  </si>
  <si>
    <t xml:space="preserve"> NAT for SMTP in STAGING NAT -AJG</t>
  </si>
  <si>
    <t xml:space="preserve"> NAT for SQLIOS in STAGING NAT -AJG</t>
  </si>
  <si>
    <t xml:space="preserve"> NAT for SQLState in STAGING NAT -AJG</t>
  </si>
  <si>
    <t xml:space="preserve"> NAT for WebServicesIOS in STAGING NAT</t>
  </si>
  <si>
    <t xml:space="preserve"> AJ Grande PM - AJG</t>
  </si>
  <si>
    <t xml:space="preserve"> Greg Yurkiw PM -AJG</t>
  </si>
  <si>
    <t xml:space="preserve"> Rob May PM -AJG</t>
  </si>
  <si>
    <t xml:space="preserve"> Arsen Bababekov VDI -AJG</t>
  </si>
  <si>
    <t xml:space="preserve"> AJ Grande VDI -AJG</t>
  </si>
  <si>
    <t xml:space="preserve"> Greg Tanner VDI -AJG</t>
  </si>
  <si>
    <t xml:space="preserve"> Josh Cruz VDI -AJG</t>
  </si>
  <si>
    <t xml:space="preserve"> Randy Babcock VDI -AJG</t>
  </si>
  <si>
    <t xml:space="preserve"> Steve Cowden VDI -AJG</t>
  </si>
  <si>
    <t xml:space="preserve"> OUTSIDE_IOPDMZ CSL address -AJG</t>
  </si>
  <si>
    <t xml:space="preserve"> ConcordSoftwareLeasing STAGING_DMZ IP -AJG</t>
  </si>
  <si>
    <t xml:space="preserve"> AmazonAWS Services Staging</t>
  </si>
  <si>
    <t xml:space="preserve"> Qualys source IP's for vulnerability scan</t>
  </si>
  <si>
    <t xml:space="preserve"> NAT address to outside site -AJG 03/07/2016</t>
  </si>
  <si>
    <t xml:space="preserve"> NAT for CrushInternal in STAGING- JR</t>
  </si>
  <si>
    <t xml:space="preserve"> NAT for RABBITMQ1 in STAGING_NAT</t>
  </si>
  <si>
    <t xml:space="preserve"> NAT for RABBITMQ2 IN STAGING NAT</t>
  </si>
  <si>
    <t xml:space="preserve"> This is needed for webservices to work in STAGING - AJG 1/22/2016</t>
  </si>
  <si>
    <t xml:space="preserve"> NAT for CrushData1 in STAGING-JR</t>
  </si>
  <si>
    <t xml:space="preserve"> Dina Kretz VDI -AB</t>
  </si>
  <si>
    <t xml:space="preserve"> Nathaneal Wagers VDI -AB</t>
  </si>
  <si>
    <t xml:space="preserve"> Steven Knudsen VDI -AB</t>
  </si>
  <si>
    <t xml:space="preserve"> NAT for WebservicesPCIData1 in STAGING-JR</t>
  </si>
  <si>
    <t xml:space="preserve"> NAT for CrushData1 Outside IOS DMZ Address- JR 03/07/2016</t>
  </si>
  <si>
    <t xml:space="preserve"> NAT for CrushInternal2 in STAGING- JR</t>
  </si>
  <si>
    <t xml:space="preserve"> NAT for CrushData2 OUtside IOS DMZ Address- JR 03/07/2016</t>
  </si>
  <si>
    <t xml:space="preserve"> CrushFTP site for updates- JR 03/07/2016</t>
  </si>
  <si>
    <t xml:space="preserve"> NAT for CrushData2 in STAGING-JR</t>
  </si>
  <si>
    <t xml:space="preserve"> NAT for CrushData VIP in STAGING-JR</t>
  </si>
  <si>
    <t xml:space="preserve"> NAT for CrushInternal VIP in STAGING- JR 05-05-16</t>
  </si>
  <si>
    <t xml:space="preserve"> USBAnk SSH over 20022</t>
  </si>
  <si>
    <t xml:space="preserve"> Concord1 updates to nu.novell.com</t>
  </si>
  <si>
    <t xml:space="preserve"> Ticket 59187</t>
  </si>
  <si>
    <t>Old Name</t>
  </si>
  <si>
    <t>PA Name</t>
  </si>
  <si>
    <t>Description</t>
  </si>
  <si>
    <t>IOP_WAN</t>
  </si>
  <si>
    <t>IOS_WAN</t>
  </si>
  <si>
    <t>PA Tags</t>
  </si>
  <si>
    <t>Old Staging  Group Name</t>
  </si>
  <si>
    <t>Old Staging Members</t>
  </si>
  <si>
    <t>PA Addresses</t>
  </si>
  <si>
    <t>PA Address Group</t>
  </si>
  <si>
    <t>Old Object Address</t>
  </si>
  <si>
    <t>PA Address</t>
  </si>
  <si>
    <t>Qualys_SOC1</t>
  </si>
  <si>
    <t>Qualys_SOC2</t>
  </si>
  <si>
    <t>MAI_Inbound</t>
  </si>
  <si>
    <t>CSC_COX</t>
  </si>
  <si>
    <t>Staging_PCI_DMZ</t>
  </si>
  <si>
    <t>SSL</t>
  </si>
  <si>
    <t xml:space="preserve">  GROUP_CrushInternal_Servers</t>
  </si>
  <si>
    <t xml:space="preserve">  GROUP_NetworkAdmins</t>
  </si>
  <si>
    <t xml:space="preserve">  GROUP_Innovation</t>
  </si>
  <si>
    <t xml:space="preserve">  GROUP_SUNDANCE_IPs</t>
  </si>
  <si>
    <t xml:space="preserve">  GROUP_RCI_IPs</t>
  </si>
  <si>
    <t xml:space="preserve">  GROUP_IBEROSTAR_IPs</t>
  </si>
  <si>
    <t xml:space="preserve">  GROUP_Incapsula_IPs</t>
  </si>
  <si>
    <t xml:space="preserve">  GROUP_MARRIOTT_IPs</t>
  </si>
  <si>
    <t xml:space="preserve">  GROUP_SUMMERBAY_IPs</t>
  </si>
  <si>
    <t xml:space="preserve">  GROUP_WELK_IPs</t>
  </si>
  <si>
    <t xml:space="preserve">  GROUP_CrushInternal_Users</t>
  </si>
  <si>
    <t xml:space="preserve">  GROUP_InterlinkSecurity_ALLOWED</t>
  </si>
  <si>
    <t xml:space="preserve">  Group_Programmers</t>
  </si>
  <si>
    <t xml:space="preserve">  GROUP_HTTPSLOGSSTAGING_ALLOWED</t>
  </si>
  <si>
    <t xml:space="preserve">  GROUP_QA</t>
  </si>
  <si>
    <t xml:space="preserve">  GROUP_SQLAPPSV_ALLOWED</t>
  </si>
  <si>
    <t xml:space="preserve">  GROUP_PHXRPTV_ALLOWED</t>
  </si>
  <si>
    <t xml:space="preserve">  GROUP_FTPServerCSC_ALLOWED</t>
  </si>
  <si>
    <t xml:space="preserve">  GROUP_SMTPView_ALLOWED</t>
  </si>
  <si>
    <t>RCI_Users</t>
  </si>
  <si>
    <t>NationalGrid_Users</t>
  </si>
  <si>
    <t>RCI_01</t>
  </si>
  <si>
    <t>RCI_02</t>
  </si>
  <si>
    <t>RCI_03</t>
  </si>
  <si>
    <t>RCI_04</t>
  </si>
  <si>
    <t>NATIONALGRID_01</t>
  </si>
  <si>
    <t>NATIONALGRID_02</t>
  </si>
  <si>
    <t>NATIONALGRID_03</t>
  </si>
  <si>
    <t>NATIONALGRID_04</t>
  </si>
  <si>
    <t>NATIONALGRID_05</t>
  </si>
  <si>
    <t>NATIONALGRID_06</t>
  </si>
  <si>
    <t>NATIONALGRID_07</t>
  </si>
  <si>
    <t>NATIONALGRID_08</t>
  </si>
  <si>
    <t>y</t>
  </si>
  <si>
    <t>RCI_08</t>
  </si>
  <si>
    <t>FIREWALL_IOS_WAN_PROD</t>
  </si>
  <si>
    <t>FIREWALL_IOP_WAN_PROD</t>
  </si>
  <si>
    <t>SITE_SEMPRA_SFTP</t>
  </si>
  <si>
    <t>GXS_Users</t>
  </si>
  <si>
    <t>PGE_Users</t>
  </si>
  <si>
    <t>PGE_01</t>
  </si>
  <si>
    <t>PGE_02</t>
  </si>
  <si>
    <t>SCE_Users</t>
  </si>
  <si>
    <t>SCE_10</t>
  </si>
  <si>
    <t>SCE_01</t>
  </si>
  <si>
    <t>SCE_02</t>
  </si>
  <si>
    <t>SCE_03</t>
  </si>
  <si>
    <t>SCE_04</t>
  </si>
  <si>
    <t>SCE_05</t>
  </si>
  <si>
    <t>SCE_06</t>
  </si>
  <si>
    <t>SCE_07</t>
  </si>
  <si>
    <t>SCE_08</t>
  </si>
  <si>
    <t>SCE_09</t>
  </si>
  <si>
    <t>SCE_11</t>
  </si>
  <si>
    <t>SCE_12</t>
  </si>
  <si>
    <t>SCE_13</t>
  </si>
  <si>
    <t>Sempra_Users</t>
  </si>
  <si>
    <t>GERC_Users</t>
  </si>
  <si>
    <t>GERC_01</t>
  </si>
  <si>
    <t>GERC_02</t>
  </si>
  <si>
    <t>PSEG_Users</t>
  </si>
  <si>
    <t>PSEG_01</t>
  </si>
  <si>
    <t>BPW_Users</t>
  </si>
  <si>
    <t>BPW_01</t>
  </si>
  <si>
    <t>Sundance_Users</t>
  </si>
  <si>
    <t>CLIENT_COX_15MB</t>
  </si>
  <si>
    <t>SITE_UScredit_IP1</t>
  </si>
  <si>
    <t>WellsFargo_Users</t>
  </si>
  <si>
    <t>WELLSFARGO_01</t>
  </si>
  <si>
    <t>WELLSFARGO_02</t>
  </si>
  <si>
    <t>WELLSFARGO_03</t>
  </si>
  <si>
    <t>WELLSFARGO_04</t>
  </si>
  <si>
    <t>Tricom_Users</t>
  </si>
  <si>
    <t>TRICOM_01</t>
  </si>
  <si>
    <t>TRICOM_02</t>
  </si>
  <si>
    <t>UScredit_01</t>
  </si>
  <si>
    <t>DZBank_Users</t>
  </si>
  <si>
    <t>DZBank_02</t>
  </si>
  <si>
    <t>DZBank_01</t>
  </si>
  <si>
    <t>MeadowLake_01</t>
  </si>
  <si>
    <t>Incapsula_WAF</t>
  </si>
  <si>
    <t>Summerbay_Users</t>
  </si>
  <si>
    <t>Welk_Users</t>
  </si>
  <si>
    <t>RCI_05</t>
  </si>
  <si>
    <t>RCI_06</t>
  </si>
  <si>
    <t>RCI_07</t>
  </si>
  <si>
    <t>Marriott_Users</t>
  </si>
  <si>
    <t>MARRIOTT_01</t>
  </si>
  <si>
    <t>MARRIOTT_02</t>
  </si>
  <si>
    <t>MARRIOTT_03</t>
  </si>
  <si>
    <t>MARRIOTT_04</t>
  </si>
  <si>
    <t>MARRIOTT_05</t>
  </si>
  <si>
    <t>MARRIOTT_06</t>
  </si>
  <si>
    <t>MARRIOTT_07</t>
  </si>
  <si>
    <t>MARRIOTT_08</t>
  </si>
  <si>
    <t>MARRIOTT_09</t>
  </si>
  <si>
    <t>MARRIOTT_10</t>
  </si>
  <si>
    <t>MARRIOTT_11</t>
  </si>
  <si>
    <t>MARRIOTT_12</t>
  </si>
  <si>
    <t>PA</t>
  </si>
  <si>
    <t>apres3 to PHX</t>
  </si>
  <si>
    <t>apres3 to SQLIOS</t>
  </si>
  <si>
    <t>apres3 to concord1</t>
  </si>
  <si>
    <t>ftpserverdmz to opendns</t>
  </si>
  <si>
    <t>ftpserverdmz to ftpservercsc</t>
  </si>
  <si>
    <t>crushdokerdmz to opendns</t>
  </si>
  <si>
    <t>crushkm to opendns</t>
  </si>
  <si>
    <t>crushdokerdmz to any</t>
  </si>
  <si>
    <t>crushdmz group to any</t>
  </si>
  <si>
    <t>crushdmz group to updates</t>
  </si>
  <si>
    <t>crushdmz group to opendns</t>
  </si>
  <si>
    <t>crushdata group to crushinternal group</t>
  </si>
  <si>
    <t>crushdata group to updates</t>
  </si>
  <si>
    <t>firewall group to any</t>
  </si>
  <si>
    <t>firewall group to dns</t>
  </si>
  <si>
    <t>crushdata group to opendns</t>
  </si>
  <si>
    <t>?</t>
  </si>
  <si>
    <t>crushkm to update</t>
  </si>
  <si>
    <t>webservicesPCIDMZ1 to opendns</t>
  </si>
  <si>
    <t>webservicesPCIDMZ1 to any</t>
  </si>
  <si>
    <t>delete - redundant</t>
  </si>
  <si>
    <t>webservicesPCIData1 to opendns</t>
  </si>
  <si>
    <t>webservicesPCIData1 to Paymetric_QA_XiSecure</t>
  </si>
  <si>
    <t>concord1 to tokenizerservice_wsPCIdata1</t>
  </si>
  <si>
    <t>crushinternal to crushdata</t>
  </si>
  <si>
    <t>PHXV</t>
  </si>
  <si>
    <t>SQLIOS</t>
  </si>
  <si>
    <t>Concord1</t>
  </si>
  <si>
    <t>WebServicesEXT</t>
  </si>
  <si>
    <t>apres3 to webservicesext - 0 hits</t>
  </si>
  <si>
    <t>SSH</t>
  </si>
  <si>
    <t>CrushData1</t>
  </si>
  <si>
    <t>CrushDMZ1</t>
  </si>
  <si>
    <t>CSCWH</t>
  </si>
  <si>
    <t>PHXRPTS</t>
  </si>
  <si>
    <t>PHXRPTV</t>
  </si>
  <si>
    <t>PHXWH</t>
  </si>
  <si>
    <t>SessionState</t>
  </si>
  <si>
    <t>WebIO</t>
  </si>
  <si>
    <t>WebServicesIOS</t>
  </si>
  <si>
    <t>SQLAppsV</t>
  </si>
  <si>
    <t>192.168.21.10</t>
  </si>
  <si>
    <t>CrushDataVIP</t>
  </si>
  <si>
    <t>192.168.21.12</t>
  </si>
  <si>
    <t>CrushInternal01</t>
  </si>
  <si>
    <t>192.168.20.10</t>
  </si>
  <si>
    <t>CrushDMZVIP</t>
  </si>
  <si>
    <t>192.168.20.12</t>
  </si>
  <si>
    <t>RABBITMQ1</t>
  </si>
  <si>
    <t>FTPSERVERCSC</t>
  </si>
  <si>
    <t>DCIOS1</t>
  </si>
  <si>
    <t>10.122.0.39</t>
  </si>
  <si>
    <t>TrueBI</t>
  </si>
  <si>
    <t>10.122.0.68</t>
  </si>
  <si>
    <t>192.168.21.22</t>
  </si>
  <si>
    <t>192.168.21.27</t>
  </si>
  <si>
    <t>192.168.21.25</t>
  </si>
  <si>
    <t>192.168.20.22</t>
  </si>
  <si>
    <t>192.168.20.25</t>
  </si>
  <si>
    <t>10.122.0.145</t>
  </si>
  <si>
    <t>WebIOProxy</t>
  </si>
  <si>
    <t>172.16.0.11</t>
  </si>
  <si>
    <t>172.16.21.10</t>
  </si>
  <si>
    <t>172.16.21.12</t>
  </si>
  <si>
    <t>172.16.20.10</t>
  </si>
  <si>
    <t>172.16.20.12</t>
  </si>
  <si>
    <t>172.16.0.43</t>
  </si>
  <si>
    <t>172.16.0.68</t>
  </si>
  <si>
    <t>172.16.0.39</t>
  </si>
  <si>
    <t>172.16.0.153</t>
  </si>
  <si>
    <t>172.16.0.44</t>
  </si>
  <si>
    <t>172.16.201.230</t>
  </si>
  <si>
    <t>172.16.0.13</t>
  </si>
  <si>
    <t>172.16.0.37</t>
  </si>
  <si>
    <t>172.16.0.131</t>
  </si>
  <si>
    <t>172.16.0.10</t>
  </si>
  <si>
    <t>172.16.0.17</t>
  </si>
  <si>
    <t>172.16.0.63</t>
  </si>
  <si>
    <t>172.16.201.20</t>
  </si>
  <si>
    <t>172.16.0.30</t>
  </si>
  <si>
    <t>172.16.0.111</t>
  </si>
  <si>
    <t>172.16.0.40</t>
  </si>
  <si>
    <t>172.16.0.145</t>
  </si>
  <si>
    <t>172.16.0.48</t>
  </si>
  <si>
    <t>172.16.0.130</t>
  </si>
  <si>
    <t>172.16.21.22</t>
  </si>
  <si>
    <t>172.16.20.22</t>
  </si>
  <si>
    <t>172.16.21.27</t>
  </si>
  <si>
    <t>172.16.21.25</t>
  </si>
  <si>
    <t>172.16.20.25</t>
  </si>
  <si>
    <t>Source Zone</t>
  </si>
  <si>
    <t>Destination Zone</t>
  </si>
  <si>
    <t>Destination interface</t>
  </si>
  <si>
    <t>Source Address</t>
  </si>
  <si>
    <t>Destination Address</t>
  </si>
  <si>
    <t>Source Translation</t>
  </si>
  <si>
    <t>Original Packet</t>
  </si>
  <si>
    <t>Translated Packet</t>
  </si>
  <si>
    <t>Staging
Outside_NAT</t>
  </si>
  <si>
    <t>DMZ
Staging
Outside_NAT</t>
  </si>
  <si>
    <t>WebIO_NAT</t>
  </si>
  <si>
    <t>Destination Translation</t>
  </si>
  <si>
    <t>was 148?</t>
  </si>
  <si>
    <t>GXS_04</t>
  </si>
  <si>
    <t>GXS_03</t>
  </si>
  <si>
    <t>GXS_02</t>
  </si>
  <si>
    <t>GXS_01</t>
  </si>
  <si>
    <t>APRES3</t>
  </si>
  <si>
    <t>Interfaces/Virtual Systems</t>
  </si>
  <si>
    <t>Zone Protection Profile</t>
  </si>
  <si>
    <t>Packet Buffer Protection</t>
  </si>
  <si>
    <t>Log Settings</t>
  </si>
  <si>
    <t>Included Networks</t>
  </si>
  <si>
    <t>Excluded Networks</t>
  </si>
  <si>
    <t>Staging_PCI_Data</t>
  </si>
  <si>
    <t>layer3</t>
  </si>
  <si>
    <t>ethernet1/2</t>
  </si>
  <si>
    <t>ethernet1/3</t>
  </si>
  <si>
    <t>ethernet1/4</t>
  </si>
  <si>
    <t>ethernet1/1</t>
  </si>
  <si>
    <t>User-ID</t>
  </si>
  <si>
    <t>ethernet1/5</t>
  </si>
  <si>
    <t>CSL.com_PCIDMZ</t>
  </si>
  <si>
    <t>CSL.com</t>
  </si>
  <si>
    <t>Web_Traffic</t>
  </si>
  <si>
    <t>web-browsing</t>
  </si>
  <si>
    <t>CSS_Protocols</t>
  </si>
  <si>
    <t xml:space="preserve"> Crush_Updates</t>
  </si>
  <si>
    <t>CrushData</t>
  </si>
  <si>
    <t>CrushData2</t>
  </si>
  <si>
    <t>192.168.21.11</t>
  </si>
  <si>
    <t>Tagged</t>
  </si>
  <si>
    <t>Category</t>
  </si>
  <si>
    <t>Subcategory</t>
  </si>
  <si>
    <t>Risk</t>
  </si>
  <si>
    <t>Technology</t>
  </si>
  <si>
    <t>Standard Ports</t>
  </si>
  <si>
    <t>business-systems</t>
  </si>
  <si>
    <t>general-business</t>
  </si>
  <si>
    <t>client-server</t>
  </si>
  <si>
    <t>tcp/9000</t>
  </si>
  <si>
    <t>Y</t>
  </si>
  <si>
    <t>CrushDMZ</t>
  </si>
  <si>
    <t>CrushDMZ2</t>
  </si>
  <si>
    <t>192.168.20.11</t>
  </si>
  <si>
    <t>16 and 17</t>
  </si>
  <si>
    <t>WebServicesPCIData</t>
  </si>
  <si>
    <t>PHXV_Protocols</t>
  </si>
  <si>
    <t>SQLIOS_Protocols</t>
  </si>
  <si>
    <t>PA Application</t>
  </si>
  <si>
    <t>PA APPLICATION GROUP</t>
  </si>
  <si>
    <t>mssql-db</t>
  </si>
  <si>
    <t>Secure_FTP_Protocols</t>
  </si>
  <si>
    <t>Old_FTP_Protocols</t>
  </si>
  <si>
    <t>Crush_to_Crush_Protocols</t>
  </si>
  <si>
    <t>Crush_9000</t>
  </si>
  <si>
    <t>CSS_2540</t>
  </si>
  <si>
    <t>CSS_25401</t>
  </si>
  <si>
    <t>CSS_25402</t>
  </si>
  <si>
    <t>CSS_25403</t>
  </si>
  <si>
    <t>CSS_25404</t>
  </si>
  <si>
    <t>CSS_25405</t>
  </si>
  <si>
    <t>CSS_25406</t>
  </si>
  <si>
    <t>CSS_25407</t>
  </si>
  <si>
    <t>CSS_25408</t>
  </si>
  <si>
    <t>CSS_8401</t>
  </si>
  <si>
    <t>CSS_8787</t>
  </si>
  <si>
    <t>tcp/25400</t>
  </si>
  <si>
    <t>tcp/25401</t>
  </si>
  <si>
    <t>tcp/25402</t>
  </si>
  <si>
    <t>tcp/25403</t>
  </si>
  <si>
    <t>tcp/25404</t>
  </si>
  <si>
    <t>tcp/25405</t>
  </si>
  <si>
    <t>tcp/25406</t>
  </si>
  <si>
    <t>tcp/25407</t>
  </si>
  <si>
    <t>tcp/25408</t>
  </si>
  <si>
    <t>tcp/8401</t>
  </si>
  <si>
    <t>tcp/8787</t>
  </si>
  <si>
    <t>PHXV_135</t>
  </si>
  <si>
    <t>tcp/135</t>
  </si>
  <si>
    <t>tcp/22603</t>
  </si>
  <si>
    <t>PHXV_22603</t>
  </si>
  <si>
    <t>SQLIOS_22701</t>
  </si>
  <si>
    <t>tcp/22701</t>
  </si>
  <si>
    <t>Cisco Name</t>
  </si>
  <si>
    <t>Cisco Port</t>
  </si>
  <si>
    <t>FTP_990</t>
  </si>
  <si>
    <t>tcp/990</t>
  </si>
  <si>
    <t>What it is</t>
  </si>
  <si>
    <t>PA ref</t>
  </si>
  <si>
    <t>concord1 to webservicesPCIData1 0 use</t>
  </si>
  <si>
    <t>netbrain to any - should we have in staging?</t>
  </si>
  <si>
    <t>PA Ref</t>
  </si>
  <si>
    <t>0 hits - WSIOS to UI Grid?</t>
  </si>
  <si>
    <t>WSIOS to SundanceTest</t>
  </si>
  <si>
    <t>WSIOS to PayPalTest</t>
  </si>
  <si>
    <t>WSEXT to APres3 - 0 hits</t>
  </si>
  <si>
    <t>Narrow down CrushI to any</t>
  </si>
  <si>
    <t>CrushI to CrushData</t>
  </si>
  <si>
    <t>Concord1 to CSSProxyIOP</t>
  </si>
  <si>
    <t>Concord1 to tokenizer serv</t>
  </si>
  <si>
    <t xml:space="preserve">Concord1 to CSL </t>
  </si>
  <si>
    <t>concord1 to CSL PCIData</t>
  </si>
  <si>
    <t>crushdata to crushinternal</t>
  </si>
  <si>
    <t>0 hits - tokenizerSrvc to rabbit</t>
  </si>
  <si>
    <t>WSPCIData1 to PHXV</t>
  </si>
  <si>
    <t>WSPCIDATA1 to Concord1</t>
  </si>
  <si>
    <t>APres3 to PHXV</t>
  </si>
  <si>
    <t>APres3 to Concord1</t>
  </si>
  <si>
    <t>APres3 to SQLIOS</t>
  </si>
  <si>
    <t>0 hts - APres3 to PHXRPTV</t>
  </si>
  <si>
    <t>admins to PHXRPTV</t>
  </si>
  <si>
    <t>group access to PHXV</t>
  </si>
  <si>
    <t>admin access to PHXRPTS</t>
  </si>
  <si>
    <t>same as 22</t>
  </si>
  <si>
    <t>group access to CSS</t>
  </si>
  <si>
    <t>group access to WSIOS</t>
  </si>
  <si>
    <t>admin access to WebIO</t>
  </si>
  <si>
    <t>admin access to PHXV</t>
  </si>
  <si>
    <t>group access to crushI</t>
  </si>
  <si>
    <t>programmer access to rabbit</t>
  </si>
  <si>
    <t>ngrande access to rabbit</t>
  </si>
  <si>
    <t>group access to FTPCSC</t>
  </si>
  <si>
    <t xml:space="preserve">group to SMTP </t>
  </si>
  <si>
    <t>admin to SMTP</t>
  </si>
  <si>
    <t>user to LDAP</t>
  </si>
  <si>
    <t>netbrain to staging??</t>
  </si>
  <si>
    <t>wspcidmcz1 to webservicesext  - 0 use but created?</t>
  </si>
  <si>
    <t>Need to log and identify the endpoints WSEXT to any</t>
  </si>
  <si>
    <t xml:space="preserve">Crush Internal updates </t>
  </si>
  <si>
    <t>Ceate group to include WebservicesPCIDMZ and PCIDATA Servers to rabbit</t>
  </si>
  <si>
    <t>0 hits - wspciData1 to rabbit (redundant rule #18)</t>
  </si>
  <si>
    <t>0 hits - WSPCIDMZ1 to rabbit (redundant rule #18)</t>
  </si>
  <si>
    <t>WSPCIDMZ1 to WSEXT to access MockServices</t>
  </si>
  <si>
    <t>0 hits - APres3 to WSEXT ConcordGateway is proxy to WSEXT</t>
  </si>
  <si>
    <t>0 hits -APres3 to FTPServerCSC Filemanager access</t>
  </si>
  <si>
    <t>0 hits - group access to SQLIOS (combine into 1 rule)</t>
  </si>
  <si>
    <t>admin access to rabbit only tcp 15672 port is needed for MGMNT</t>
  </si>
  <si>
    <t>programmer access to concord1 case be case access</t>
  </si>
  <si>
    <t xml:space="preserve">no </t>
  </si>
  <si>
    <t>netbrain to mgmt Int firewalls - only needed on IOP FW</t>
  </si>
  <si>
    <t>APres3 DNS thorugh PA</t>
  </si>
  <si>
    <t>wspcidata1 to rabbitmq</t>
  </si>
  <si>
    <t>wspcidmz1 to rabbitmq</t>
  </si>
  <si>
    <t>apres3 to clients</t>
  </si>
  <si>
    <t>wspcidata1 to PHX</t>
  </si>
  <si>
    <t>wspcidata1 to Concord1</t>
  </si>
  <si>
    <t xml:space="preserve">why admin need remote access to SQLState - ?? </t>
  </si>
  <si>
    <t>networkadmins to crushdata - https only</t>
  </si>
  <si>
    <t>networkadmins to apres3 - FTP only</t>
  </si>
  <si>
    <t>networkadmins to webservicesPCIData1 - ftp only</t>
  </si>
  <si>
    <t>networkadmins to webservicesPCIDMZ1 - ftp only</t>
  </si>
  <si>
    <t>184.185.173.210</t>
  </si>
  <si>
    <t>63.240.233.252</t>
  </si>
  <si>
    <t>12.129.124.29</t>
  </si>
  <si>
    <t>12.116.217.237</t>
  </si>
  <si>
    <t>212.120.136.66</t>
  </si>
  <si>
    <t>203.194.87.66</t>
  </si>
  <si>
    <t>42.61.107.50</t>
  </si>
  <si>
    <t>199.108.197.0 255.255.255.0</t>
  </si>
  <si>
    <t>118.201.64.146</t>
  </si>
  <si>
    <t>63.240.234.118</t>
  </si>
  <si>
    <t>148.244.112.138</t>
  </si>
  <si>
    <t>206.121.113.46</t>
  </si>
  <si>
    <t>167.122.5.0 255.255.255.0</t>
  </si>
  <si>
    <t>72.44.200.188</t>
  </si>
  <si>
    <t>69.71.60.252</t>
  </si>
  <si>
    <t>65.183.164.155</t>
  </si>
  <si>
    <t>64.213.37.2</t>
  </si>
  <si>
    <t>64.213.37.3</t>
  </si>
  <si>
    <t>50.204.183.114</t>
  </si>
  <si>
    <t>209.145.82.98</t>
  </si>
  <si>
    <t>204.90.130.93</t>
  </si>
  <si>
    <t>204.90.130.195</t>
  </si>
  <si>
    <t>204.90.230.166</t>
  </si>
  <si>
    <t>113.38.9.107</t>
  </si>
  <si>
    <t>69.144.16.27</t>
  </si>
  <si>
    <t>65.209.62.110</t>
  </si>
  <si>
    <t>65.196.116.110</t>
  </si>
  <si>
    <t>65.196.116.171</t>
  </si>
  <si>
    <t>65.209.62.216</t>
  </si>
  <si>
    <t>65.196.116.173</t>
  </si>
  <si>
    <t>65.209.62.218</t>
  </si>
  <si>
    <t>62.190.154.228</t>
  </si>
  <si>
    <t>62.190.148.228</t>
  </si>
  <si>
    <t>8.10.80.98</t>
  </si>
  <si>
    <t>64.39.96.1 64.39.111.254</t>
  </si>
  <si>
    <t>62.210.136.129 62.210.136.254</t>
  </si>
  <si>
    <t>167.124.112.134</t>
  </si>
  <si>
    <t>66.162.239.134</t>
  </si>
  <si>
    <t>12.177.4.134</t>
  </si>
  <si>
    <t>68.38.33.164</t>
  </si>
  <si>
    <t>189.204.45.173</t>
  </si>
  <si>
    <t>192.212.253.9</t>
  </si>
  <si>
    <t>192.212.253.10</t>
  </si>
  <si>
    <t>192.212.136.62</t>
  </si>
  <si>
    <t>192.212.136.63</t>
  </si>
  <si>
    <t>108.0.194.63</t>
  </si>
  <si>
    <t>192.213.103.149</t>
  </si>
  <si>
    <t>172.28.17.112</t>
  </si>
  <si>
    <t>172.28.0.93</t>
  </si>
  <si>
    <t>192.212.245.17</t>
  </si>
  <si>
    <t>192.212.245.20</t>
  </si>
  <si>
    <t>192.213.140.29</t>
  </si>
  <si>
    <t>192.213.140.30</t>
  </si>
  <si>
    <t>161.209.206.1</t>
  </si>
  <si>
    <t>74.85.94.32</t>
  </si>
  <si>
    <t>74.85.97.26</t>
  </si>
  <si>
    <t>64.238.161.214</t>
  </si>
  <si>
    <t>151.151.19.131</t>
  </si>
  <si>
    <t>151.151.18.38</t>
  </si>
  <si>
    <t>151.151.68.67</t>
  </si>
  <si>
    <t>151.151.65.195</t>
  </si>
  <si>
    <t>8.8.8.8</t>
  </si>
  <si>
    <t>8.8.4.4</t>
  </si>
  <si>
    <t>DNS_External</t>
  </si>
  <si>
    <t>Presentation_Hosts</t>
  </si>
  <si>
    <t>50.73.158.165</t>
  </si>
  <si>
    <t>IBEROSTAR_01</t>
  </si>
  <si>
    <t>IBEROSTAR_02</t>
  </si>
  <si>
    <t>IBEROSTAR_03</t>
  </si>
  <si>
    <t>IBEROSTAR_04</t>
  </si>
  <si>
    <t>84.124.26.186</t>
  </si>
  <si>
    <t>46.24.16.66</t>
  </si>
  <si>
    <t>212.145.135.100</t>
  </si>
  <si>
    <t>148.223.208.231</t>
  </si>
  <si>
    <t>ClubExploria_01</t>
  </si>
  <si>
    <t>148.243.133.128 255.255.255.224</t>
  </si>
  <si>
    <t>148.243.230.0 255.255.255.224</t>
  </si>
  <si>
    <t>189.204.45.128 255.255.255.192</t>
  </si>
  <si>
    <t>SUNDANCE_01</t>
  </si>
  <si>
    <t>SUNDANCE_02</t>
  </si>
  <si>
    <t>SUNDANCE_03</t>
  </si>
  <si>
    <t>SUNDANCE_04</t>
  </si>
  <si>
    <t>69.176.68.178</t>
  </si>
  <si>
    <t>209.235.237.215</t>
  </si>
  <si>
    <t>209.235.253.82</t>
  </si>
  <si>
    <t>212.91.179.82</t>
  </si>
  <si>
    <t>Paymetric_QA_XIintercept</t>
  </si>
  <si>
    <t>Paymetric_QA_XIpay</t>
  </si>
  <si>
    <t>65.163.245.88</t>
  </si>
  <si>
    <t>65.163.245.78</t>
  </si>
  <si>
    <t>Presentation_Outbound</t>
  </si>
  <si>
    <t>RabbitMQ_Hosts</t>
  </si>
  <si>
    <t>tcp/5672</t>
  </si>
  <si>
    <t>tcp/15672</t>
  </si>
  <si>
    <t>Rabbit_5672</t>
  </si>
  <si>
    <t>Rabbit_15672</t>
  </si>
  <si>
    <t>RabbitMQ_Protocols</t>
  </si>
  <si>
    <t>NTP through PA - How NTP in staging???</t>
  </si>
  <si>
    <t>WebServicesPCIDMZ</t>
  </si>
  <si>
    <t>NTP with PA - how are we doing NTP in Staging?</t>
  </si>
  <si>
    <t>DCIOS to external DNS</t>
  </si>
  <si>
    <t>192.30.252.153 192.30.252.154</t>
  </si>
  <si>
    <t>UI-GRID.Info</t>
  </si>
  <si>
    <t>test-dataexchange.iusesam.com</t>
  </si>
  <si>
    <t>Paypal_Test1</t>
  </si>
  <si>
    <t>Paypal_Test2</t>
  </si>
  <si>
    <t>tlstest.paypal.com</t>
  </si>
  <si>
    <t>pilot-payflowpro.paypal.com</t>
  </si>
  <si>
    <t>CrushInternal</t>
  </si>
  <si>
    <t>Tokenizer</t>
  </si>
  <si>
    <t>Presentation_to_PHXV</t>
  </si>
  <si>
    <t>Presentation_to_SQLIOS</t>
  </si>
  <si>
    <t>0 hits - admin access to SQLIOS - use console</t>
  </si>
  <si>
    <t>group access to PHXWH - not doing IP, but PHXV_Protocols</t>
  </si>
  <si>
    <t>Staging_SQLIOS_Access</t>
  </si>
  <si>
    <t>Staging_PHXV_Access</t>
  </si>
  <si>
    <t>Staging_PHXWH_Access</t>
  </si>
  <si>
    <t>Staging_PHXRPT_Access</t>
  </si>
  <si>
    <t>Staging_Concord1_Access</t>
  </si>
  <si>
    <t>Staging_WSIOS_Access</t>
  </si>
  <si>
    <t>admin access to WSIOS - did not do IP</t>
  </si>
  <si>
    <t>Staging_WSEXT_Access</t>
  </si>
  <si>
    <t>group access to WSEXT - allowed web-traffic</t>
  </si>
  <si>
    <t>Staging_Crushi_Access</t>
  </si>
  <si>
    <t>group access to WSIOS - part of 42</t>
  </si>
  <si>
    <t>Staging_RabbitMQ_Access</t>
  </si>
  <si>
    <t>group access to SQLAppsV redefine Group access - used PHXV_Protocols</t>
  </si>
  <si>
    <t>Staging_SQLAPPSV_Access</t>
  </si>
  <si>
    <t>Staging_FTPCSC_Access</t>
  </si>
  <si>
    <t>FTPDMZ to FTPCSC - did ftpcsc to ftpdmz, already had the other way</t>
  </si>
  <si>
    <t>group access to crushi - redundant w/line 47</t>
  </si>
  <si>
    <t>cssproxy in IOP  to concord1  why do we have to talk both ways?</t>
  </si>
  <si>
    <t>Staging_SQLSentry_Access</t>
  </si>
  <si>
    <t>PHXV_SQLSENTRY</t>
  </si>
  <si>
    <t>group to SQLSentry - need to know ports? Not a holdup</t>
  </si>
  <si>
    <t>user to LDAP - no RDP</t>
  </si>
  <si>
    <t>admin to LDAP - no reason to do this - use console</t>
  </si>
  <si>
    <t>145 or 148???</t>
  </si>
  <si>
    <t>172.16.201.161</t>
  </si>
  <si>
    <t>group access to PHXV - what is netbios used for??</t>
  </si>
  <si>
    <t>209.49.206.132</t>
  </si>
  <si>
    <t>WELK_01</t>
  </si>
  <si>
    <t>WELK_02</t>
  </si>
  <si>
    <t>WELK_WEBSERVICE_IP</t>
  </si>
  <si>
    <t>WELK_TESTSERVER</t>
  </si>
  <si>
    <t>70.168.63.194</t>
  </si>
  <si>
    <t>70.168.63.230</t>
  </si>
  <si>
    <t>ownerslounge.welkresorts.com</t>
  </si>
  <si>
    <t>70.168.63.217</t>
  </si>
  <si>
    <t>DNS Entry</t>
  </si>
  <si>
    <t>Incapsula_01</t>
  </si>
  <si>
    <t>Incapsula_02</t>
  </si>
  <si>
    <t>Incapsula_03</t>
  </si>
  <si>
    <t>Incapsula_04</t>
  </si>
  <si>
    <t>Incapsula_05</t>
  </si>
  <si>
    <t>Incapsula_06</t>
  </si>
  <si>
    <t>Incapsula_07</t>
  </si>
  <si>
    <t>Incapsula_08</t>
  </si>
  <si>
    <t>Incapsula_09</t>
  </si>
  <si>
    <t>Incapsula_10</t>
  </si>
  <si>
    <t>apres3</t>
  </si>
  <si>
    <t>concord1</t>
  </si>
  <si>
    <t>cssproxy</t>
  </si>
  <si>
    <t>dcios1</t>
  </si>
  <si>
    <t>ftpservercsc</t>
  </si>
  <si>
    <t>phxrpts</t>
  </si>
  <si>
    <t>phxrptv</t>
  </si>
  <si>
    <t>phxv</t>
  </si>
  <si>
    <t>rabbitmq1</t>
  </si>
  <si>
    <t>sqlappsv</t>
  </si>
  <si>
    <t>sqlios</t>
  </si>
  <si>
    <t>FTPSERVER_DMZ</t>
  </si>
  <si>
    <t>ftpserver_dmz</t>
  </si>
  <si>
    <t>LDAPProd</t>
  </si>
  <si>
    <t>sessionstate</t>
  </si>
  <si>
    <t>webio</t>
  </si>
  <si>
    <t>webservicesios</t>
  </si>
  <si>
    <t>Paymetric_QA_XISecure</t>
  </si>
  <si>
    <t>Sundance_test</t>
  </si>
  <si>
    <t>CrushInternal_VIP</t>
  </si>
  <si>
    <t>CSSProxy</t>
  </si>
  <si>
    <t>SMTP</t>
  </si>
  <si>
    <t>WebIOProxy_NAT</t>
  </si>
  <si>
    <t>AD Group</t>
  </si>
  <si>
    <t>Members</t>
  </si>
  <si>
    <t>Staging_Server_Admin</t>
  </si>
  <si>
    <t>Cisco Group</t>
  </si>
  <si>
    <t>new</t>
  </si>
  <si>
    <t>206.83.160.19</t>
  </si>
  <si>
    <t>Arsen_HomeIP</t>
  </si>
  <si>
    <t>PCI FW</t>
  </si>
  <si>
    <t>Javier_Home_IP</t>
  </si>
  <si>
    <t>SITE_GXS_IP1</t>
  </si>
  <si>
    <t>SITE_PGE_IP1</t>
  </si>
  <si>
    <t>SITE_PGE_IP3</t>
  </si>
  <si>
    <t>SITE_PGE_IP2</t>
  </si>
  <si>
    <t>SITE_PGE_IP4</t>
  </si>
  <si>
    <t>GROUP_USBANK_IPs</t>
  </si>
  <si>
    <t>GROUP_BENJI_IPs</t>
  </si>
  <si>
    <t>SITE_GENWORTH_1</t>
  </si>
  <si>
    <t>GROUP_Pingdom_IPs</t>
  </si>
  <si>
    <t>GROUP_USCREDIT_IPs</t>
  </si>
  <si>
    <t>GROUP_DZBANK_IPs</t>
  </si>
  <si>
    <t>SITE_COX_CSC_15MB_GW</t>
  </si>
  <si>
    <t>SITE_SEMPRA_IP1</t>
  </si>
  <si>
    <t>SITE_SEMPRA_IP2</t>
  </si>
  <si>
    <t>70.162.120.16</t>
  </si>
  <si>
    <t>24.251.63.169</t>
  </si>
  <si>
    <t>130.19.38.19</t>
  </si>
  <si>
    <t>130.19.38.18</t>
  </si>
  <si>
    <t>131.89.227.18</t>
  </si>
  <si>
    <t>131.89.227.19</t>
  </si>
  <si>
    <t>161.209.225.1</t>
  </si>
  <si>
    <t>216.115.85.69</t>
  </si>
  <si>
    <t>SITE_BENJI_IP1</t>
  </si>
  <si>
    <t>SITE_BENJI_IP2</t>
  </si>
  <si>
    <t>SITE_BENJI_IP3</t>
  </si>
  <si>
    <t>SITE_BENJI_IP4</t>
  </si>
  <si>
    <t>SITE_BENJI_IP5</t>
  </si>
  <si>
    <t>SITE_BENJI_IP6</t>
  </si>
  <si>
    <t>SITE_BENJI_IP7</t>
  </si>
  <si>
    <t xml:space="preserve"> 98.189.59.137</t>
  </si>
  <si>
    <t xml:space="preserve"> 184.178.217.18</t>
  </si>
  <si>
    <t xml:space="preserve"> 70.167.174.58</t>
  </si>
  <si>
    <t xml:space="preserve"> 23.101.185.142</t>
  </si>
  <si>
    <t xml:space="preserve"> 98.191.254.178</t>
  </si>
  <si>
    <t xml:space="preserve"> 23.101.181.1 23.101.181.254</t>
  </si>
  <si>
    <t>No</t>
  </si>
  <si>
    <t>NO</t>
  </si>
  <si>
    <t>STG_Crush</t>
  </si>
  <si>
    <t>STG_SQLsentry</t>
  </si>
  <si>
    <t>imail.concordservicing.com</t>
  </si>
  <si>
    <t xml:space="preserve">webservicesext </t>
  </si>
  <si>
    <t>WSPCIDMZ1</t>
  </si>
  <si>
    <t>WSPCIDATA1</t>
  </si>
  <si>
    <t>STG_CrushData1</t>
  </si>
  <si>
    <t>no dns, no ping replyc?</t>
  </si>
  <si>
    <t>no dns, no ping reply ?</t>
  </si>
  <si>
    <t>Tokenizer_NAT</t>
  </si>
  <si>
    <t>N</t>
  </si>
  <si>
    <t>STG_APRES3</t>
  </si>
  <si>
    <t>STG_Concord1</t>
  </si>
  <si>
    <t>STG_CrushDataVIP</t>
  </si>
  <si>
    <t>STG_CrushDMZ1</t>
  </si>
  <si>
    <t>STG_CrushDMZVIP</t>
  </si>
  <si>
    <t>STG_CrushInternal01</t>
  </si>
  <si>
    <t>STG_TrueBI</t>
  </si>
  <si>
    <t>STG_CSCWH</t>
  </si>
  <si>
    <t>STG_DCIOS1</t>
  </si>
  <si>
    <t>STG_FTPServerCSC</t>
  </si>
  <si>
    <t>STG_FTPServerDMZ</t>
  </si>
  <si>
    <t>STG_LDAP</t>
  </si>
  <si>
    <t>STG_PHXRPTS</t>
  </si>
  <si>
    <t>STG_PHXRPTV</t>
  </si>
  <si>
    <t>STG_PHXV</t>
  </si>
  <si>
    <t>STG_PHXWH</t>
  </si>
  <si>
    <t>STG_RabbitMQ1</t>
  </si>
  <si>
    <t>STG_SessionState</t>
  </si>
  <si>
    <t>STG_SMTP</t>
  </si>
  <si>
    <t>STG_SQLAppsV</t>
  </si>
  <si>
    <t>STG_SQLIOS</t>
  </si>
  <si>
    <t>STG_WebServicesEXT</t>
  </si>
  <si>
    <t>STG_WebServicesIOS</t>
  </si>
  <si>
    <t>STG_WSPCIData1</t>
  </si>
  <si>
    <t>STG_WSPCIDMZ1</t>
  </si>
  <si>
    <t>STG_Tokenizer</t>
  </si>
  <si>
    <t>servicespci.concordservicing.com</t>
  </si>
  <si>
    <t>servicespci.concordsoftwareleasing.com</t>
  </si>
  <si>
    <t>servicespxy.concordsoftwareleasing.com</t>
  </si>
  <si>
    <t>staging.concordsoftwareleasing.com</t>
  </si>
  <si>
    <t xml:space="preserve">172.16.201.132   </t>
  </si>
  <si>
    <t>MAI.com</t>
  </si>
  <si>
    <t>PBW.com</t>
  </si>
  <si>
    <t>stgpcidata.concordsoftwareleasing.com</t>
  </si>
  <si>
    <t>stgpcidata.concordservicing.com</t>
  </si>
  <si>
    <t>stgpcipxy.concordsoftwareleasing.com</t>
  </si>
  <si>
    <t>QA/ Devs</t>
  </si>
  <si>
    <t>Stephen Cowden; Javier Ramirez; Arsen Bababekov; Tony Nicholson; Jesse Johnson</t>
  </si>
  <si>
    <t>Rob May; Ricky McPherson; Alfredo Herrera; Ayodele Olatunji; Doug Smith; Jon Catlin; Josh Cruz; Justin Graham; Julfia Ismail; JP Tingm; Kyle McAdams; Martin Gaxiola; Mike Malangoni; Mark Sirrine; Nancy Grande; Nathan Wagers; Randy Babcock; Robert McCracken; Ramir Rama; Samantha Bunting; Stephen Cowden; Stephen Rufle; Steven Toth; Shikhar Upadhaya; Terry Carter; Tyler Kimmel;  Austin Lawlor; Casey Lawlor; Corey Snyder; Joseph McCarthy; Jason Sperry; Ray Marsh</t>
  </si>
  <si>
    <t xml:space="preserve">Rob May; Josh Cruz; Ayodele Olatunji; Robert McCracken; Terry Carter; Tyler Kimmel; </t>
  </si>
  <si>
    <t>Rob May; Josh Cruz; Robert McCracken</t>
  </si>
  <si>
    <t>Bill Williford; Evan Green; Kyle Derry; Rob May; Ricky McPherson; Brandina Wade; Carmen Illig; Carrie Jones; Colin Tsosie; Dan Goit; Dianna Hall; Doug Smith; Eric Buckeye; Josh Cruz; Javier Ramirez; John Sherman; Kyle McAdams; Matthew Leedy; Marcela Ochoa; Mark Sirrine; Nancy Grande; Nathan Wagers; Randy Babcock; Samantha Bunting; Stephen Cowden; Shawn Haler; Stephen Knudsen; Stephanie Miller; Steven Toth; Terry Carter; Tyler Kimmel; Tony Nicholson; Zeek Tavarez; Jesse Johnson; Austin Lawlor; Casey Lawlor; Corey Snyder; Julfia Ismail; Joseph McCarthy; Jason Sperry; Ray Marsh; Miriam Robles Villar; Brian Almazan; Bryan Bonneau; Carrie Jones; Caroline Martinez; Colin Tsosie;  Isaac Sirrine; Bernice Lopez; Jack Cone; Joy Smith; Lorena Montano; Ryan Fleetwod; Sean Olsen; Vedrana Mirkovic</t>
  </si>
  <si>
    <t>Bill Williford; Evan Green; Kyle Derry; Miriam Robles Villar; Rob May; Arsen Bababekov; Austin Lawlor; Alicia Vander Kooi; Bryan Bonneau; Brandina Wade; Casey Lawlor; Corey Snyder; Doug Smith; Gary Penrod;  Isaac Sirine; Josh Cruz; Julfia Ismail; Joseph McCarthy; Javier Ramirez; Jason Sperry; Kyle McAdams; Lorena Montano; Miram Robles Villar; Nancy Grande; Nathan Wagers; Ray Marsh; Steven Knudsen; Stephanie Mattson; Terry Carter; Vedran Veric; Zeek Tavarez</t>
  </si>
  <si>
    <t>Bill Williford; Ana Sotelo; Brian Almazan; Brandina Wade; Carrie Jones; Christian Rodriguez; Daniel Revelo; David Segura; Erica Perez; Gregory Nesmith; Israel Gutierrez; Joy Smith; Juan Montoya; Jorge Olvera; Javier Ramirez; Kyle McAdams; Libertad Aguilar; Lorena Montano; Nancy Grande; Nathan Wagers; Saul Iturbide; Zeek Tavarez</t>
  </si>
  <si>
    <t>Bill Williford; Miriam Robles Villar; Rob May;  Austin Lawlor; Alicia Vander Kooi; Aileen Villarreal; Bryan Bonneau; Bernice Lopez; Casey Lawlor; Corey Snyder; Dina Kretz; Doug Smith; Erick Buckeye; Isaac Sirrine; Josue Aparicio; Julfia Ismail; Joseph McCarthy; JP Ting; Leticia Magana; Martin Gaxiola;  Miram Robles Villar; Mark Sirrine; Nancy Grande; Nathan Wagers; Ray Marsh; Robert McCracken; Ramir Rama; Samantha Bunting; Steven Toth; Tyler Kimmel;  GROUP_NetworkAdmins</t>
  </si>
  <si>
    <t xml:space="preserve">Rob May; Josh Cruz;  Robert McCracken; Samantha Bunting; </t>
  </si>
  <si>
    <t xml:space="preserve">NTP_External </t>
  </si>
  <si>
    <t>NTP_External01</t>
  </si>
  <si>
    <t>NTP_External02</t>
  </si>
  <si>
    <t>NTP_External03</t>
  </si>
  <si>
    <t>CSL_Inbound</t>
  </si>
  <si>
    <t>ssh</t>
  </si>
  <si>
    <t>ssl</t>
  </si>
  <si>
    <t>Crush_Clients</t>
  </si>
  <si>
    <t>Staging_HelpDesk_Access</t>
  </si>
  <si>
    <t>Jorge Olvera;Gregory Nesmith</t>
  </si>
  <si>
    <t>WSPCIDATA_Access</t>
  </si>
  <si>
    <t>WSPCIDMZ_Access</t>
  </si>
  <si>
    <t>Staging_Dev_Access</t>
  </si>
  <si>
    <t>Staging_QA_Access</t>
  </si>
  <si>
    <t>Devs</t>
  </si>
  <si>
    <t>QA</t>
  </si>
  <si>
    <t>SSH
SSL</t>
  </si>
  <si>
    <t>SessionState_Access</t>
  </si>
  <si>
    <t>Staging_SessionState_Access</t>
  </si>
  <si>
    <t>Rob May; Josh Cruz</t>
  </si>
  <si>
    <t>PGE_03</t>
  </si>
  <si>
    <t>PGE_04</t>
  </si>
  <si>
    <t>PGE_05</t>
  </si>
  <si>
    <t>PGE_06</t>
  </si>
  <si>
    <t>GXS_05</t>
  </si>
  <si>
    <t>204.90.130.26</t>
  </si>
  <si>
    <t>GXS_06</t>
  </si>
  <si>
    <t>Sempra_02</t>
  </si>
  <si>
    <t>USBank_01</t>
  </si>
  <si>
    <t>170.135.187.73</t>
  </si>
  <si>
    <t>BPW_02</t>
  </si>
  <si>
    <t>104.36.72.10</t>
  </si>
  <si>
    <t>USBank_Users</t>
  </si>
  <si>
    <t>MeadowLake_Users</t>
  </si>
  <si>
    <t>USCredit_Users</t>
  </si>
  <si>
    <t>Iberostar_Users</t>
  </si>
  <si>
    <t>Sempra_01</t>
  </si>
  <si>
    <t>131.89.227.14</t>
  </si>
  <si>
    <t>131.89.227.15</t>
  </si>
  <si>
    <t>Summerbay_01</t>
  </si>
  <si>
    <t>included in DZBank users</t>
  </si>
  <si>
    <t>w/RCI_Users</t>
  </si>
  <si>
    <t>remove? Why needed</t>
  </si>
  <si>
    <t>0.pool.ntp.org</t>
  </si>
  <si>
    <t>1.pool.ntp.org</t>
  </si>
  <si>
    <t>2.pool.ntp.org</t>
  </si>
  <si>
    <t>3.pool.ntp.org</t>
  </si>
  <si>
    <t>4.pool.ntp.org</t>
  </si>
  <si>
    <t>NTP_External04</t>
  </si>
  <si>
    <t>NTP_External05</t>
  </si>
  <si>
    <t>NTP_External06</t>
  </si>
  <si>
    <t>time.nist.gov</t>
  </si>
  <si>
    <t>NTP_Internal</t>
  </si>
  <si>
    <t>DNS_Internal</t>
  </si>
  <si>
    <t>Google_DNS_01</t>
  </si>
  <si>
    <t>Google_DNS_02</t>
  </si>
  <si>
    <t>OpenDNS_01</t>
  </si>
  <si>
    <t>OpenDNS_02</t>
  </si>
  <si>
    <t>208.67.220.220</t>
  </si>
  <si>
    <t>Stg_CrushDMZVIP_NAT</t>
  </si>
  <si>
    <t>added stg</t>
  </si>
  <si>
    <t>Stg_CrushInternal01_NAT</t>
  </si>
  <si>
    <t>Stg_TrueBI_NAT</t>
  </si>
  <si>
    <t>Stg_CSCWH_NAT</t>
  </si>
  <si>
    <t>Stg_DCIOS1_NAT</t>
  </si>
  <si>
    <t>Stg_FTPServerCSC_NAT</t>
  </si>
  <si>
    <t>Stg_FTPServerDMZ_NAT</t>
  </si>
  <si>
    <t>Stg_LDAP_NAT</t>
  </si>
  <si>
    <t>Stg_APres3_NAT</t>
  </si>
  <si>
    <t>Stg_Concord1_NAT</t>
  </si>
  <si>
    <t>Stg_Crush_Docker_NAT</t>
  </si>
  <si>
    <t>Stg_CrushData1_NAT</t>
  </si>
  <si>
    <t>Stg_CrushDataVIP_NAT</t>
  </si>
  <si>
    <t>Stg_CrushDMZ1_NAT</t>
  </si>
  <si>
    <t>Stg_PHXRPTS_NAT</t>
  </si>
  <si>
    <t>Stg_PHXRPTV_NAT</t>
  </si>
  <si>
    <t>Stg_PHXV_NAT</t>
  </si>
  <si>
    <t>Stg_PHXWH_NAT</t>
  </si>
  <si>
    <t>Stg_RabbitMQ1_NAT</t>
  </si>
  <si>
    <t>Stg_SessionState_NAT</t>
  </si>
  <si>
    <t>Stg_SMTP_NAT</t>
  </si>
  <si>
    <t>Stg_SQLAppsV_NAT</t>
  </si>
  <si>
    <t>Stg_SQLIOS_NAT</t>
  </si>
  <si>
    <t>Stg_WebServicesEXT_NAT</t>
  </si>
  <si>
    <t>Stg_WebServicesIOS_NAT</t>
  </si>
  <si>
    <t>Stg_WebServicesPCIData1_NAT</t>
  </si>
  <si>
    <t>Stg_WebServicesPCIDMZ1_NAT</t>
  </si>
  <si>
    <t>changed to match</t>
  </si>
  <si>
    <t>Stg_CSL_NAT</t>
  </si>
  <si>
    <t>Stg_CSL_PCIData_NAT</t>
  </si>
  <si>
    <t>Stg_CSC_PCIData_NAT</t>
  </si>
  <si>
    <t>Stg_CSL_PCIDMZ_NAT</t>
  </si>
  <si>
    <t>Not created in dns ? Is this correct</t>
  </si>
  <si>
    <t>local to staging?</t>
  </si>
  <si>
    <t>Staging_CSL_Users</t>
  </si>
  <si>
    <t>Stg_MAI_NAT</t>
  </si>
  <si>
    <t>172.16.201.167</t>
  </si>
  <si>
    <t>No_WAF</t>
  </si>
  <si>
    <t>Stg_PB_NAT</t>
  </si>
  <si>
    <t>172.16.201.169</t>
  </si>
  <si>
    <t>157.55.130.72</t>
  </si>
  <si>
    <t>microsoft dirsync</t>
  </si>
  <si>
    <t>54.148.192.86</t>
  </si>
  <si>
    <t>34.210.206.140</t>
  </si>
  <si>
    <t>amazon dirsync</t>
  </si>
  <si>
    <t>23.100.32.138</t>
  </si>
  <si>
    <t>13.106.56.10</t>
  </si>
  <si>
    <t>104.42.72.19</t>
  </si>
  <si>
    <t>23.99.80.186</t>
  </si>
  <si>
    <t>DirSync</t>
  </si>
  <si>
    <t>10.128.0.88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</si>
</sst>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0">
    <xf numFmtId="0" fontId="0" fillId="0" borderId="0" xfId="0"/>
    <xf numFmtId="0" fontId="0" fillId="0" borderId="11" xfId="0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13" xfId="0" applyBorder="1" applyAlignment="1">
      <alignment vertical="center" wrapText="1"/>
    </xf>
    <xf numFmtId="0" fontId="14" fillId="0" borderId="0" xfId="0" applyFont="1"/>
    <xf numFmtId="0" fontId="18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4" fillId="0" borderId="0" xfId="0" applyFont="1" applyAlignment="1">
      <alignment vertical="top"/>
    </xf>
    <xf numFmtId="0" fontId="18" fillId="0" borderId="0" xfId="0" applyFont="1" applyAlignment="1">
      <alignment vertical="top"/>
    </xf>
    <xf numFmtId="0" fontId="0" fillId="0" borderId="0" xfId="0" applyAlignment="1">
      <alignment horizontal="left"/>
    </xf>
    <xf numFmtId="0" fontId="16" fillId="0" borderId="0" xfId="0" applyFont="1"/>
    <xf numFmtId="0" fontId="18" fillId="0" borderId="0" xfId="0" applyFont="1" applyAlignment="1">
      <alignment vertical="top" wrapText="1"/>
    </xf>
    <xf numFmtId="0" fontId="19" fillId="0" borderId="0" xfId="0" applyFont="1"/>
    <xf numFmtId="0" fontId="16" fillId="0" borderId="0" xfId="0" applyFont="1" applyAlignment="1">
      <alignment horizontal="left"/>
    </xf>
    <xf numFmtId="0" fontId="16" fillId="0" borderId="0" xfId="0" applyFont="1" applyAlignment="1">
      <alignment vertical="top"/>
    </xf>
    <xf numFmtId="0" fontId="20" fillId="0" borderId="0" xfId="0" applyFont="1" applyAlignment="1">
      <alignment horizontal="left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6" fillId="33" borderId="0" xfId="0" applyFont="1" applyFill="1"/>
    <xf numFmtId="0" fontId="0" fillId="33" borderId="0" xfId="0" applyFill="1"/>
    <xf numFmtId="0" fontId="16" fillId="33" borderId="0" xfId="0" applyFont="1" applyFill="1" applyAlignment="1">
      <alignment horizontal="left"/>
    </xf>
    <xf numFmtId="0" fontId="0" fillId="33" borderId="0" xfId="0" applyFill="1" applyAlignment="1">
      <alignment horizontal="left"/>
    </xf>
    <xf numFmtId="0" fontId="14" fillId="0" borderId="0" xfId="0" applyFont="1" applyAlignment="1">
      <alignment vertical="top" wrapText="1"/>
    </xf>
    <xf numFmtId="0" fontId="22" fillId="0" borderId="0" xfId="0" applyFont="1" applyAlignment="1">
      <alignment vertical="top"/>
    </xf>
    <xf numFmtId="0" fontId="0" fillId="0" borderId="0" xfId="0" applyFill="1"/>
    <xf numFmtId="0" fontId="23" fillId="0" borderId="0" xfId="0" applyFont="1"/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14" fillId="33" borderId="0" xfId="0" applyFont="1" applyFill="1"/>
    <xf numFmtId="0" fontId="18" fillId="0" borderId="0" xfId="0" applyFont="1" applyFill="1" applyBorder="1" applyAlignment="1">
      <alignment vertical="top"/>
    </xf>
    <xf numFmtId="0" fontId="16" fillId="33" borderId="0" xfId="0" applyFont="1" applyFill="1" applyAlignment="1">
      <alignment wrapText="1"/>
    </xf>
    <xf numFmtId="0" fontId="14" fillId="33" borderId="0" xfId="0" applyFont="1" applyFill="1" applyAlignment="1">
      <alignment vertical="top" wrapText="1"/>
    </xf>
    <xf numFmtId="0" fontId="0" fillId="33" borderId="0" xfId="0" applyFill="1" applyAlignment="1">
      <alignment vertical="top" wrapText="1"/>
    </xf>
    <xf numFmtId="0" fontId="0" fillId="33" borderId="0" xfId="0" applyFill="1" applyAlignment="1">
      <alignment wrapText="1"/>
    </xf>
    <xf numFmtId="0" fontId="6" fillId="2" borderId="0" xfId="6" applyAlignment="1">
      <alignment vertical="top"/>
    </xf>
    <xf numFmtId="0" fontId="7" fillId="3" borderId="0" xfId="7" applyAlignment="1">
      <alignment vertical="top"/>
    </xf>
    <xf numFmtId="0" fontId="21" fillId="0" borderId="0" xfId="0" applyFont="1" applyAlignment="1">
      <alignment horizontal="left"/>
    </xf>
    <xf numFmtId="0" fontId="6" fillId="2" borderId="4" xfId="6" applyBorder="1" applyAlignment="1">
      <alignment vertical="top"/>
    </xf>
    <xf numFmtId="0" fontId="6" fillId="2" borderId="15" xfId="6" applyBorder="1" applyAlignment="1">
      <alignment vertical="top"/>
    </xf>
    <xf numFmtId="0" fontId="16" fillId="0" borderId="14" xfId="0" applyFont="1" applyBorder="1" applyAlignment="1">
      <alignment vertical="top"/>
    </xf>
    <xf numFmtId="0" fontId="16" fillId="0" borderId="14" xfId="0" applyFont="1" applyBorder="1" applyAlignment="1">
      <alignment horizontal="center"/>
    </xf>
    <xf numFmtId="0" fontId="16" fillId="0" borderId="14" xfId="0" applyFont="1" applyBorder="1" applyAlignment="1"/>
    <xf numFmtId="0" fontId="16" fillId="0" borderId="14" xfId="0" applyFont="1" applyBorder="1" applyAlignment="1">
      <alignment vertical="top" wrapText="1"/>
    </xf>
    <xf numFmtId="0" fontId="7" fillId="3" borderId="14" xfId="7" applyBorder="1" applyAlignment="1">
      <alignment vertical="top"/>
    </xf>
    <xf numFmtId="0" fontId="7" fillId="3" borderId="14" xfId="7" applyBorder="1" applyAlignment="1">
      <alignment vertical="top" wrapText="1"/>
    </xf>
    <xf numFmtId="0" fontId="6" fillId="2" borderId="14" xfId="6" applyBorder="1" applyAlignment="1">
      <alignment vertical="top"/>
    </xf>
    <xf numFmtId="0" fontId="6" fillId="2" borderId="14" xfId="6" applyBorder="1" applyAlignment="1">
      <alignment vertical="top" wrapText="1"/>
    </xf>
    <xf numFmtId="0" fontId="0" fillId="0" borderId="14" xfId="0" applyBorder="1" applyAlignment="1">
      <alignment vertical="top"/>
    </xf>
    <xf numFmtId="0" fontId="0" fillId="0" borderId="14" xfId="0" applyBorder="1" applyAlignment="1">
      <alignment vertical="top" wrapText="1"/>
    </xf>
    <xf numFmtId="0" fontId="18" fillId="33" borderId="0" xfId="0" applyFont="1" applyFill="1"/>
    <xf numFmtId="0" fontId="14" fillId="0" borderId="0" xfId="0" applyFont="1" applyAlignment="1">
      <alignment wrapText="1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0" fillId="0" borderId="11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13" xfId="0" applyBorder="1" applyAlignment="1">
      <alignment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Staging_Objects - Copy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9"/>
  <sheetViews>
    <sheetView tabSelected="1" workbookViewId="0">
      <pane ySplit="1" topLeftCell="A2" activePane="bottomLeft" state="frozen"/>
      <selection pane="bottomLeft" sqref="A1:XFD1"/>
    </sheetView>
  </sheetViews>
  <sheetFormatPr defaultRowHeight="15" x14ac:dyDescent="0.25"/>
  <cols>
    <col min="1" max="1" width="4.140625" style="51" bestFit="1" customWidth="1"/>
    <col min="2" max="2" width="32.5703125" style="51" bestFit="1" customWidth="1"/>
    <col min="3" max="3" width="14" style="51" bestFit="1" customWidth="1"/>
    <col min="4" max="4" width="9.5703125" style="51" bestFit="1" customWidth="1"/>
    <col min="5" max="5" width="17.85546875" style="52" bestFit="1" customWidth="1"/>
    <col min="6" max="6" width="26.28515625" style="52" customWidth="1"/>
    <col min="7" max="7" width="53.5703125" style="51" customWidth="1"/>
    <col min="8" max="8" width="12.5703125" style="51" bestFit="1" customWidth="1"/>
    <col min="9" max="9" width="17.85546875" style="52" bestFit="1" customWidth="1"/>
    <col min="10" max="10" width="38.7109375" style="52" customWidth="1"/>
    <col min="11" max="11" width="20.7109375" style="51" bestFit="1" customWidth="1"/>
    <col min="12" max="12" width="18.28515625" style="51" bestFit="1" customWidth="1"/>
    <col min="13" max="13" width="11" style="51" bestFit="1" customWidth="1"/>
    <col min="14" max="14" width="11.28515625" style="51" bestFit="1" customWidth="1"/>
    <col min="15" max="15" width="31.140625" style="51" bestFit="1" customWidth="1"/>
    <col min="16" max="16384" width="9.140625" style="9"/>
  </cols>
  <sheetData>
    <row r="1" spans="1:16" s="17" customFormat="1" x14ac:dyDescent="0.25">
      <c r="A1" s="43" t="s">
        <v>1</v>
      </c>
      <c r="B1" s="44" t="s">
        <v>240</v>
      </c>
      <c r="C1" s="45" t="s">
        <v>239</v>
      </c>
      <c r="D1" s="44" t="s">
        <v>238</v>
      </c>
      <c r="E1" s="46" t="s">
        <v>241</v>
      </c>
      <c r="F1" s="46" t="s">
        <v>242</v>
      </c>
      <c r="G1" s="43" t="s">
        <v>4</v>
      </c>
      <c r="H1" s="43" t="s">
        <v>243</v>
      </c>
      <c r="I1" s="46" t="s">
        <v>241</v>
      </c>
      <c r="J1" s="46" t="s">
        <v>242</v>
      </c>
      <c r="K1" s="44" t="s">
        <v>244</v>
      </c>
      <c r="L1" s="44" t="s">
        <v>8</v>
      </c>
      <c r="M1" s="44" t="s">
        <v>7</v>
      </c>
      <c r="N1" s="44" t="s">
        <v>245</v>
      </c>
      <c r="O1" s="44" t="s">
        <v>246</v>
      </c>
    </row>
    <row r="2" spans="1:16" s="39" customFormat="1" ht="45" x14ac:dyDescent="0.25">
      <c r="A2" s="47">
        <v>1</v>
      </c>
      <c r="B2" s="48" t="s">
        <v>247</v>
      </c>
      <c r="C2" s="48" t="s">
        <v>254</v>
      </c>
      <c r="D2" s="47" t="s">
        <v>248</v>
      </c>
      <c r="E2" s="48" t="str">
        <f>'PA Zones'!A3</f>
        <v>Outside</v>
      </c>
      <c r="F2" s="48" t="s">
        <v>32</v>
      </c>
      <c r="G2" s="47" t="s">
        <v>32</v>
      </c>
      <c r="H2" s="47" t="s">
        <v>32</v>
      </c>
      <c r="I2" s="48" t="str">
        <f>'PA Zones'!A4</f>
        <v>Staging_CSC_LAN</v>
      </c>
      <c r="J2" s="48" t="str">
        <f>Objects!C207</f>
        <v>Concord1</v>
      </c>
      <c r="K2" s="47" t="str">
        <f>'Application Groups'!C237</f>
        <v>Concord1_Protocols</v>
      </c>
      <c r="L2" s="47" t="s">
        <v>251</v>
      </c>
      <c r="M2" s="47" t="s">
        <v>252</v>
      </c>
      <c r="N2" s="47" t="s">
        <v>253</v>
      </c>
      <c r="O2" s="48" t="s">
        <v>255</v>
      </c>
    </row>
    <row r="3" spans="1:16" s="38" customFormat="1" ht="45" x14ac:dyDescent="0.25">
      <c r="A3" s="49">
        <v>2</v>
      </c>
      <c r="B3" s="49" t="s">
        <v>1810</v>
      </c>
      <c r="C3" s="50" t="s">
        <v>256</v>
      </c>
      <c r="D3" s="49" t="s">
        <v>248</v>
      </c>
      <c r="E3" s="50" t="str">
        <f>'PA Zones'!A3</f>
        <v>Outside</v>
      </c>
      <c r="F3" s="50" t="str">
        <f>'Object Groups'!B422&amp;CHAR(10)&amp;'Object Groups'!B675</f>
        <v>Incapsula_WAF
No_WAF</v>
      </c>
      <c r="G3" s="49" t="s">
        <v>32</v>
      </c>
      <c r="H3" s="49" t="s">
        <v>32</v>
      </c>
      <c r="I3" s="50" t="str">
        <f>'PA Zones'!A7</f>
        <v>Staging_Prod_DMZ</v>
      </c>
      <c r="J3" s="50" t="str">
        <f>Objects!C405</f>
        <v>CSL.com</v>
      </c>
      <c r="K3" s="49" t="str">
        <f>'Application Groups'!C240</f>
        <v>Web_Traffic</v>
      </c>
      <c r="L3" s="49" t="s">
        <v>251</v>
      </c>
      <c r="M3" s="49" t="s">
        <v>252</v>
      </c>
      <c r="N3" s="49" t="s">
        <v>253</v>
      </c>
      <c r="O3" s="50" t="s">
        <v>255</v>
      </c>
    </row>
    <row r="4" spans="1:16" s="38" customFormat="1" ht="75" x14ac:dyDescent="0.25">
      <c r="A4" s="49">
        <v>4</v>
      </c>
      <c r="B4" s="49" t="s">
        <v>1164</v>
      </c>
      <c r="C4" s="50" t="s">
        <v>258</v>
      </c>
      <c r="D4" s="49" t="s">
        <v>248</v>
      </c>
      <c r="E4" s="50" t="str">
        <f>'PA Zones'!A3</f>
        <v>Outside</v>
      </c>
      <c r="F4" s="50" t="str">
        <f>'Object Groups'!B675&amp;CHAR(10)&amp;'Object Groups'!B422&amp;CHAR(10)&amp;'Object Groups'!B360&amp;CHAR(10)&amp;'Object Groups'!B222&amp;CHAR(10)&amp;'Object Groups'!B538</f>
        <v>No_WAF
Incapsula_WAF
Summerbay_Users
Sundance_Users
Welk_Users</v>
      </c>
      <c r="G4" s="49" t="s">
        <v>32</v>
      </c>
      <c r="H4" s="49" t="s">
        <v>32</v>
      </c>
      <c r="I4" s="50" t="str">
        <f>'PA Zones'!A7</f>
        <v>Staging_Prod_DMZ</v>
      </c>
      <c r="J4" s="50" t="str">
        <f>Objects!C403</f>
        <v>MAI.com</v>
      </c>
      <c r="K4" s="49" t="str">
        <f>'Application Groups'!C240</f>
        <v>Web_Traffic</v>
      </c>
      <c r="L4" s="49" t="s">
        <v>251</v>
      </c>
      <c r="M4" s="49" t="s">
        <v>252</v>
      </c>
      <c r="N4" s="49" t="s">
        <v>253</v>
      </c>
      <c r="O4" s="50" t="s">
        <v>255</v>
      </c>
    </row>
    <row r="5" spans="1:16" s="38" customFormat="1" ht="30" x14ac:dyDescent="0.25">
      <c r="A5" s="49">
        <v>8</v>
      </c>
      <c r="B5" s="49" t="s">
        <v>1630</v>
      </c>
      <c r="C5" s="49"/>
      <c r="D5" s="49" t="s">
        <v>248</v>
      </c>
      <c r="E5" s="50" t="str">
        <f>'PA Zones'!A7</f>
        <v>Staging_Prod_DMZ</v>
      </c>
      <c r="F5" s="50" t="str">
        <f>'Object Groups'!B706</f>
        <v>Presentation_Hosts</v>
      </c>
      <c r="G5" s="49" t="s">
        <v>32</v>
      </c>
      <c r="H5" s="49" t="s">
        <v>32</v>
      </c>
      <c r="I5" s="50" t="str">
        <f>'PA Zones'!A4</f>
        <v>Staging_CSC_LAN</v>
      </c>
      <c r="J5" s="50" t="str">
        <f>Objects!C227</f>
        <v>PHXV</v>
      </c>
      <c r="K5" s="50" t="str">
        <f>'Application Groups'!C20</f>
        <v>PHXV_Protocols</v>
      </c>
      <c r="L5" s="49" t="s">
        <v>251</v>
      </c>
      <c r="M5" s="49" t="s">
        <v>252</v>
      </c>
      <c r="N5" s="49" t="s">
        <v>253</v>
      </c>
      <c r="O5" s="50" t="s">
        <v>255</v>
      </c>
    </row>
    <row r="6" spans="1:16" s="38" customFormat="1" ht="30" x14ac:dyDescent="0.25">
      <c r="A6" s="49">
        <v>9</v>
      </c>
      <c r="B6" s="49" t="s">
        <v>1631</v>
      </c>
      <c r="C6" s="49"/>
      <c r="D6" s="49" t="s">
        <v>248</v>
      </c>
      <c r="E6" s="50" t="str">
        <f>'PA Zones'!A7</f>
        <v>Staging_Prod_DMZ</v>
      </c>
      <c r="F6" s="50" t="str">
        <f>'Object Groups'!B706</f>
        <v>Presentation_Hosts</v>
      </c>
      <c r="G6" s="49" t="s">
        <v>32</v>
      </c>
      <c r="H6" s="49" t="s">
        <v>32</v>
      </c>
      <c r="I6" s="50" t="str">
        <f>'PA Zones'!A4</f>
        <v>Staging_CSC_LAN</v>
      </c>
      <c r="J6" s="50" t="str">
        <f>Objects!C235</f>
        <v>SQLIOS</v>
      </c>
      <c r="K6" s="50" t="str">
        <f>'Application Groups'!C24</f>
        <v>SQLIOS_Protocols</v>
      </c>
      <c r="L6" s="49" t="s">
        <v>251</v>
      </c>
      <c r="M6" s="49" t="s">
        <v>252</v>
      </c>
      <c r="N6" s="49" t="s">
        <v>253</v>
      </c>
      <c r="O6" s="50" t="s">
        <v>255</v>
      </c>
    </row>
    <row r="7" spans="1:16" s="38" customFormat="1" ht="45" x14ac:dyDescent="0.25">
      <c r="A7" s="49">
        <v>57</v>
      </c>
      <c r="B7" s="49" t="s">
        <v>1816</v>
      </c>
      <c r="C7" s="49"/>
      <c r="D7" s="49" t="s">
        <v>248</v>
      </c>
      <c r="E7" s="50" t="str">
        <f>'PA Zones'!A3</f>
        <v>Outside</v>
      </c>
      <c r="F7" s="50" t="s">
        <v>32</v>
      </c>
      <c r="G7" s="50" t="str">
        <f>'AD Groups'!B2&amp;CHAR(10)&amp;'AD Groups'!B16&amp;CHAR(10)&amp;'AD Groups'!B17</f>
        <v>Staging_Server_Admin
Staging_Dev_Access
Staging_QA_Access</v>
      </c>
      <c r="H7" s="49" t="s">
        <v>32</v>
      </c>
      <c r="I7" s="50" t="str">
        <f>'PA Zones'!A6</f>
        <v>Staging_PCI_Data</v>
      </c>
      <c r="J7" s="50" t="str">
        <f>Objects!C242&amp;CHAR(10)&amp;Objects!C407</f>
        <v>WSPCIDATA1
servicespci.concordsoftwareleasing.com</v>
      </c>
      <c r="K7" s="50" t="s">
        <v>1822</v>
      </c>
      <c r="L7" s="49" t="s">
        <v>251</v>
      </c>
      <c r="M7" s="49" t="s">
        <v>252</v>
      </c>
      <c r="N7" s="49" t="s">
        <v>253</v>
      </c>
      <c r="O7" s="50" t="s">
        <v>255</v>
      </c>
    </row>
    <row r="8" spans="1:16" s="38" customFormat="1" ht="45" x14ac:dyDescent="0.25">
      <c r="A8" s="49">
        <v>58</v>
      </c>
      <c r="B8" s="49" t="s">
        <v>1817</v>
      </c>
      <c r="C8" s="49"/>
      <c r="D8" s="49" t="s">
        <v>248</v>
      </c>
      <c r="E8" s="50" t="str">
        <f>'PA Zones'!A3</f>
        <v>Outside</v>
      </c>
      <c r="F8" s="50" t="s">
        <v>32</v>
      </c>
      <c r="G8" s="50" t="str">
        <f>'AD Groups'!B2&amp;CHAR(10)&amp;'AD Groups'!B16&amp;CHAR(10)&amp;'AD Groups'!B17</f>
        <v>Staging_Server_Admin
Staging_Dev_Access
Staging_QA_Access</v>
      </c>
      <c r="H8" s="49" t="s">
        <v>32</v>
      </c>
      <c r="I8" s="50" t="str">
        <f>'PA Zones'!A5</f>
        <v>Staging_PCI_DMZ</v>
      </c>
      <c r="J8" s="50" t="str">
        <f>Objects!C243&amp;CHAR(10)&amp;Objects!C402</f>
        <v>WSPCIDMZ1
CSL.com_PCIDMZ</v>
      </c>
      <c r="K8" s="50" t="s">
        <v>1822</v>
      </c>
      <c r="L8" s="49" t="s">
        <v>251</v>
      </c>
      <c r="M8" s="49" t="s">
        <v>252</v>
      </c>
      <c r="N8" s="49" t="s">
        <v>253</v>
      </c>
      <c r="O8" s="50" t="s">
        <v>255</v>
      </c>
    </row>
    <row r="9" spans="1:16" s="41" customFormat="1" ht="30" x14ac:dyDescent="0.25">
      <c r="A9" s="49">
        <v>60</v>
      </c>
      <c r="B9" s="49" t="s">
        <v>1823</v>
      </c>
      <c r="C9" s="49"/>
      <c r="D9" s="49" t="s">
        <v>248</v>
      </c>
      <c r="E9" s="50" t="str">
        <f>'PA Zones'!A3</f>
        <v>Outside</v>
      </c>
      <c r="F9" s="50" t="s">
        <v>32</v>
      </c>
      <c r="G9" s="49" t="str">
        <f>'AD Groups'!B18</f>
        <v>Staging_SessionState_Access</v>
      </c>
      <c r="H9" s="49" t="s">
        <v>32</v>
      </c>
      <c r="I9" s="50" t="str">
        <f>'PA Zones'!A7</f>
        <v>Staging_Prod_DMZ</v>
      </c>
      <c r="J9" s="50" t="str">
        <f>Objects!C236</f>
        <v>SessionState</v>
      </c>
      <c r="K9" s="49" t="s">
        <v>1419</v>
      </c>
      <c r="L9" s="49" t="s">
        <v>251</v>
      </c>
      <c r="M9" s="49" t="s">
        <v>252</v>
      </c>
      <c r="N9" s="49" t="s">
        <v>253</v>
      </c>
      <c r="O9" s="50" t="s">
        <v>255</v>
      </c>
      <c r="P9" s="42"/>
    </row>
  </sheetData>
  <autoFilter ref="A1:O6"/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"/>
  <sheetViews>
    <sheetView workbookViewId="0">
      <selection activeCell="A7" sqref="A7:XFD7"/>
    </sheetView>
  </sheetViews>
  <sheetFormatPr defaultRowHeight="15" x14ac:dyDescent="0.25"/>
  <cols>
    <col min="1" max="1" width="17.85546875" bestFit="1" customWidth="1"/>
    <col min="3" max="3" width="24.85546875" bestFit="1" customWidth="1"/>
    <col min="4" max="4" width="22" bestFit="1" customWidth="1"/>
    <col min="5" max="5" width="23" bestFit="1" customWidth="1"/>
    <col min="6" max="6" width="11.5703125" bestFit="1" customWidth="1"/>
    <col min="7" max="7" width="8.140625" bestFit="1" customWidth="1"/>
    <col min="8" max="8" width="18" bestFit="1" customWidth="1"/>
    <col min="9" max="9" width="18.28515625" bestFit="1" customWidth="1"/>
  </cols>
  <sheetData>
    <row r="1" spans="1:9" x14ac:dyDescent="0.25">
      <c r="A1" s="13"/>
      <c r="B1" s="13"/>
      <c r="C1" s="13"/>
      <c r="D1" s="13"/>
      <c r="E1" s="13"/>
      <c r="F1" s="13"/>
      <c r="G1" s="55" t="s">
        <v>1388</v>
      </c>
      <c r="H1" s="55"/>
      <c r="I1" s="55"/>
    </row>
    <row r="2" spans="1:9" x14ac:dyDescent="0.25">
      <c r="A2" s="13" t="s">
        <v>240</v>
      </c>
      <c r="B2" s="13" t="s">
        <v>238</v>
      </c>
      <c r="C2" s="13" t="s">
        <v>1376</v>
      </c>
      <c r="D2" s="13" t="s">
        <v>1377</v>
      </c>
      <c r="E2" s="13" t="s">
        <v>1378</v>
      </c>
      <c r="F2" s="13" t="s">
        <v>1379</v>
      </c>
      <c r="G2" s="13" t="s">
        <v>2</v>
      </c>
      <c r="H2" s="13" t="s">
        <v>1380</v>
      </c>
      <c r="I2" s="13" t="s">
        <v>1381</v>
      </c>
    </row>
    <row r="3" spans="1:9" x14ac:dyDescent="0.25">
      <c r="A3" t="s">
        <v>113</v>
      </c>
      <c r="B3" t="s">
        <v>1383</v>
      </c>
      <c r="C3" t="s">
        <v>1387</v>
      </c>
      <c r="H3" t="s">
        <v>32</v>
      </c>
      <c r="I3" t="s">
        <v>253</v>
      </c>
    </row>
    <row r="4" spans="1:9" x14ac:dyDescent="0.25">
      <c r="A4" t="s">
        <v>249</v>
      </c>
      <c r="B4" t="s">
        <v>1383</v>
      </c>
      <c r="C4" t="s">
        <v>1384</v>
      </c>
      <c r="H4" t="s">
        <v>32</v>
      </c>
      <c r="I4" t="s">
        <v>253</v>
      </c>
    </row>
    <row r="5" spans="1:9" x14ac:dyDescent="0.25">
      <c r="A5" t="s">
        <v>1166</v>
      </c>
      <c r="B5" t="s">
        <v>1383</v>
      </c>
      <c r="C5" t="s">
        <v>1385</v>
      </c>
      <c r="H5" t="s">
        <v>32</v>
      </c>
      <c r="I5" t="s">
        <v>253</v>
      </c>
    </row>
    <row r="6" spans="1:9" x14ac:dyDescent="0.25">
      <c r="A6" t="s">
        <v>1382</v>
      </c>
      <c r="B6" t="s">
        <v>1383</v>
      </c>
      <c r="C6" t="s">
        <v>1386</v>
      </c>
      <c r="H6" t="s">
        <v>32</v>
      </c>
      <c r="I6" t="s">
        <v>253</v>
      </c>
    </row>
    <row r="7" spans="1:9" s="6" customFormat="1" x14ac:dyDescent="0.25">
      <c r="A7" s="6" t="s">
        <v>257</v>
      </c>
      <c r="B7" s="6" t="s">
        <v>1383</v>
      </c>
      <c r="C7" s="6" t="s">
        <v>1389</v>
      </c>
      <c r="H7" s="6" t="s">
        <v>32</v>
      </c>
      <c r="I7" s="6" t="s">
        <v>253</v>
      </c>
    </row>
  </sheetData>
  <mergeCells count="1">
    <mergeCell ref="G1:I1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65"/>
  <sheetViews>
    <sheetView workbookViewId="0">
      <pane ySplit="1" topLeftCell="A462" activePane="bottomLeft" state="frozen"/>
      <selection pane="bottomLeft" activeCell="F465" sqref="F465"/>
    </sheetView>
  </sheetViews>
  <sheetFormatPr defaultRowHeight="15" x14ac:dyDescent="0.25"/>
  <cols>
    <col min="1" max="1" width="52.28515625" style="23" bestFit="1" customWidth="1"/>
    <col min="2" max="2" width="4.140625" customWidth="1"/>
    <col min="3" max="3" width="38.28515625" style="6" bestFit="1" customWidth="1"/>
    <col min="4" max="4" width="9.85546875" bestFit="1" customWidth="1"/>
    <col min="5" max="5" width="20" style="23" customWidth="1"/>
    <col min="6" max="6" width="31.140625" bestFit="1" customWidth="1"/>
    <col min="7" max="7" width="39.7109375" customWidth="1"/>
    <col min="8" max="8" width="61.85546875" bestFit="1" customWidth="1"/>
  </cols>
  <sheetData>
    <row r="1" spans="1:8" s="13" customFormat="1" x14ac:dyDescent="0.25">
      <c r="A1" s="22" t="s">
        <v>1150</v>
      </c>
      <c r="C1" s="15" t="s">
        <v>1151</v>
      </c>
      <c r="D1" s="13" t="s">
        <v>1155</v>
      </c>
      <c r="E1" s="22" t="s">
        <v>1160</v>
      </c>
      <c r="F1" s="13" t="s">
        <v>1161</v>
      </c>
      <c r="G1" s="13" t="s">
        <v>1669</v>
      </c>
      <c r="H1" s="13" t="s">
        <v>1152</v>
      </c>
    </row>
    <row r="2" spans="1:8" x14ac:dyDescent="0.25">
      <c r="A2" s="23" t="s">
        <v>588</v>
      </c>
      <c r="B2" t="s">
        <v>1201</v>
      </c>
      <c r="C2" s="6" t="s">
        <v>1594</v>
      </c>
      <c r="E2" s="23" t="s">
        <v>882</v>
      </c>
      <c r="F2" t="s">
        <v>1585</v>
      </c>
    </row>
    <row r="3" spans="1:8" x14ac:dyDescent="0.25">
      <c r="A3" s="23" t="s">
        <v>533</v>
      </c>
      <c r="B3" t="s">
        <v>1201</v>
      </c>
      <c r="C3" s="6" t="s">
        <v>1165</v>
      </c>
      <c r="E3" s="23" t="s">
        <v>669</v>
      </c>
      <c r="F3" t="s">
        <v>1520</v>
      </c>
    </row>
    <row r="4" spans="1:8" x14ac:dyDescent="0.25">
      <c r="A4" s="23" t="s">
        <v>558</v>
      </c>
      <c r="B4" t="s">
        <v>1201</v>
      </c>
      <c r="C4" s="6" t="s">
        <v>1586</v>
      </c>
      <c r="E4" s="23" t="s">
        <v>744</v>
      </c>
      <c r="F4" t="s">
        <v>1590</v>
      </c>
    </row>
    <row r="5" spans="1:8" x14ac:dyDescent="0.25">
      <c r="A5" s="23" t="s">
        <v>559</v>
      </c>
      <c r="B5" t="s">
        <v>1201</v>
      </c>
      <c r="C5" s="6" t="s">
        <v>1587</v>
      </c>
      <c r="E5" s="23" t="s">
        <v>745</v>
      </c>
      <c r="F5" t="s">
        <v>1591</v>
      </c>
    </row>
    <row r="6" spans="1:8" x14ac:dyDescent="0.25">
      <c r="A6" s="23" t="s">
        <v>560</v>
      </c>
      <c r="B6" t="s">
        <v>1201</v>
      </c>
      <c r="C6" s="6" t="s">
        <v>1588</v>
      </c>
      <c r="E6" s="23" t="s">
        <v>746</v>
      </c>
      <c r="F6" t="s">
        <v>1592</v>
      </c>
    </row>
    <row r="7" spans="1:8" x14ac:dyDescent="0.25">
      <c r="A7" s="23" t="s">
        <v>561</v>
      </c>
      <c r="B7" t="s">
        <v>1201</v>
      </c>
      <c r="C7" s="6" t="s">
        <v>1589</v>
      </c>
      <c r="E7" s="23" t="s">
        <v>747</v>
      </c>
      <c r="F7" t="s">
        <v>1593</v>
      </c>
    </row>
    <row r="8" spans="1:8" x14ac:dyDescent="0.25">
      <c r="A8" s="23" t="s">
        <v>594</v>
      </c>
      <c r="B8" t="s">
        <v>1201</v>
      </c>
      <c r="C8" s="6" t="s">
        <v>1255</v>
      </c>
      <c r="E8" s="23" t="s">
        <v>883</v>
      </c>
      <c r="F8" t="s">
        <v>1521</v>
      </c>
    </row>
    <row r="9" spans="1:8" x14ac:dyDescent="0.25">
      <c r="A9" s="23" t="s">
        <v>597</v>
      </c>
      <c r="B9" t="s">
        <v>1201</v>
      </c>
      <c r="C9" s="6" t="s">
        <v>1256</v>
      </c>
      <c r="E9" s="23" t="s">
        <v>886</v>
      </c>
      <c r="F9" t="s">
        <v>1522</v>
      </c>
    </row>
    <row r="10" spans="1:8" x14ac:dyDescent="0.25">
      <c r="A10" s="23" t="s">
        <v>598</v>
      </c>
      <c r="B10" t="s">
        <v>1201</v>
      </c>
      <c r="C10" s="6" t="s">
        <v>1257</v>
      </c>
      <c r="E10" s="23" t="s">
        <v>887</v>
      </c>
      <c r="F10" t="s">
        <v>1523</v>
      </c>
    </row>
    <row r="11" spans="1:8" x14ac:dyDescent="0.25">
      <c r="A11" s="23" t="s">
        <v>599</v>
      </c>
      <c r="B11" t="s">
        <v>1201</v>
      </c>
      <c r="C11" s="6" t="s">
        <v>1258</v>
      </c>
      <c r="E11" s="23" t="s">
        <v>888</v>
      </c>
      <c r="F11" t="s">
        <v>1524</v>
      </c>
    </row>
    <row r="12" spans="1:8" x14ac:dyDescent="0.25">
      <c r="A12" s="23" t="s">
        <v>600</v>
      </c>
      <c r="B12" t="s">
        <v>1201</v>
      </c>
      <c r="C12" s="6" t="s">
        <v>1259</v>
      </c>
      <c r="E12" s="23" t="s">
        <v>889</v>
      </c>
      <c r="F12" t="s">
        <v>1525</v>
      </c>
    </row>
    <row r="13" spans="1:8" x14ac:dyDescent="0.25">
      <c r="A13" s="23" t="s">
        <v>601</v>
      </c>
      <c r="B13" t="s">
        <v>1201</v>
      </c>
      <c r="C13" s="6" t="s">
        <v>1260</v>
      </c>
      <c r="E13" s="23" t="s">
        <v>890</v>
      </c>
      <c r="F13" t="s">
        <v>1526</v>
      </c>
    </row>
    <row r="14" spans="1:8" x14ac:dyDescent="0.25">
      <c r="A14" s="23" t="s">
        <v>602</v>
      </c>
      <c r="B14" t="s">
        <v>1201</v>
      </c>
      <c r="C14" s="6" t="s">
        <v>1261</v>
      </c>
      <c r="E14" s="23" t="s">
        <v>893</v>
      </c>
      <c r="F14" t="s">
        <v>1527</v>
      </c>
    </row>
    <row r="15" spans="1:8" x14ac:dyDescent="0.25">
      <c r="A15" s="23" t="s">
        <v>603</v>
      </c>
      <c r="B15" t="s">
        <v>1201</v>
      </c>
      <c r="C15" s="6" t="s">
        <v>1262</v>
      </c>
      <c r="E15" s="23" t="s">
        <v>891</v>
      </c>
      <c r="F15" t="s">
        <v>1528</v>
      </c>
    </row>
    <row r="16" spans="1:8" x14ac:dyDescent="0.25">
      <c r="A16" s="23" t="s">
        <v>604</v>
      </c>
      <c r="B16" t="s">
        <v>1201</v>
      </c>
      <c r="C16" s="6" t="s">
        <v>1263</v>
      </c>
      <c r="E16" s="23" t="s">
        <v>892</v>
      </c>
      <c r="F16" t="s">
        <v>1529</v>
      </c>
    </row>
    <row r="17" spans="1:8" x14ac:dyDescent="0.25">
      <c r="A17" s="23" t="s">
        <v>595</v>
      </c>
      <c r="B17" t="s">
        <v>1201</v>
      </c>
      <c r="C17" s="6" t="s">
        <v>1264</v>
      </c>
      <c r="E17" s="23" t="s">
        <v>884</v>
      </c>
      <c r="F17" t="s">
        <v>1530</v>
      </c>
    </row>
    <row r="18" spans="1:8" x14ac:dyDescent="0.25">
      <c r="A18" s="23" t="s">
        <v>596</v>
      </c>
      <c r="B18" t="s">
        <v>1201</v>
      </c>
      <c r="C18" s="6" t="s">
        <v>1265</v>
      </c>
      <c r="E18" s="23" t="s">
        <v>885</v>
      </c>
      <c r="F18" t="s">
        <v>1531</v>
      </c>
    </row>
    <row r="19" spans="1:8" x14ac:dyDescent="0.25">
      <c r="A19" s="23" t="s">
        <v>605</v>
      </c>
      <c r="B19" t="s">
        <v>1201</v>
      </c>
      <c r="C19" s="6" t="s">
        <v>1266</v>
      </c>
      <c r="E19" s="23" t="s">
        <v>938</v>
      </c>
      <c r="F19" t="s">
        <v>1532</v>
      </c>
    </row>
    <row r="20" spans="1:8" x14ac:dyDescent="0.25">
      <c r="A20" s="23" t="s">
        <v>545</v>
      </c>
      <c r="B20" t="s">
        <v>1201</v>
      </c>
      <c r="C20" s="5" t="s">
        <v>1845</v>
      </c>
      <c r="E20" s="23" t="s">
        <v>880</v>
      </c>
      <c r="F20" t="s">
        <v>1660</v>
      </c>
    </row>
    <row r="21" spans="1:8" x14ac:dyDescent="0.25">
      <c r="A21" s="23" t="s">
        <v>606</v>
      </c>
      <c r="B21" t="s">
        <v>1201</v>
      </c>
      <c r="C21" s="28" t="s">
        <v>1661</v>
      </c>
      <c r="E21" s="23" t="s">
        <v>714</v>
      </c>
      <c r="F21" t="s">
        <v>1665</v>
      </c>
    </row>
    <row r="22" spans="1:8" x14ac:dyDescent="0.25">
      <c r="A22" s="23" t="s">
        <v>607</v>
      </c>
      <c r="B22" t="s">
        <v>1201</v>
      </c>
      <c r="C22" s="28" t="s">
        <v>1664</v>
      </c>
      <c r="E22" s="23" t="s">
        <v>719</v>
      </c>
      <c r="F22" t="s">
        <v>1666</v>
      </c>
    </row>
    <row r="23" spans="1:8" x14ac:dyDescent="0.25">
      <c r="A23" s="23" t="s">
        <v>608</v>
      </c>
      <c r="B23" t="s">
        <v>1201</v>
      </c>
      <c r="C23" s="28" t="s">
        <v>1662</v>
      </c>
      <c r="E23" s="23" t="s">
        <v>715</v>
      </c>
      <c r="F23" t="s">
        <v>1667</v>
      </c>
    </row>
    <row r="24" spans="1:8" x14ac:dyDescent="0.25">
      <c r="A24" s="23" t="s">
        <v>609</v>
      </c>
      <c r="B24" t="s">
        <v>1201</v>
      </c>
      <c r="C24" s="28" t="s">
        <v>1663</v>
      </c>
      <c r="E24" s="23" t="s">
        <v>716</v>
      </c>
      <c r="F24" t="s">
        <v>1668</v>
      </c>
    </row>
    <row r="25" spans="1:8" x14ac:dyDescent="0.25">
      <c r="A25" s="23" t="s">
        <v>530</v>
      </c>
      <c r="B25" t="s">
        <v>1201</v>
      </c>
      <c r="C25" s="6" t="s">
        <v>1153</v>
      </c>
      <c r="E25" s="23" t="s">
        <v>665</v>
      </c>
      <c r="F25" t="s">
        <v>1533</v>
      </c>
    </row>
    <row r="26" spans="1:8" x14ac:dyDescent="0.25">
      <c r="A26" s="23" t="s">
        <v>531</v>
      </c>
      <c r="B26" t="s">
        <v>1201</v>
      </c>
      <c r="C26" s="6" t="s">
        <v>1154</v>
      </c>
      <c r="E26" s="23" t="s">
        <v>666</v>
      </c>
      <c r="F26" t="s">
        <v>1534</v>
      </c>
    </row>
    <row r="27" spans="1:8" x14ac:dyDescent="0.25">
      <c r="A27" s="23" t="s">
        <v>982</v>
      </c>
      <c r="E27" s="23" t="s">
        <v>640</v>
      </c>
      <c r="H27" t="s">
        <v>1106</v>
      </c>
    </row>
    <row r="28" spans="1:8" x14ac:dyDescent="0.25">
      <c r="A28" s="23" t="s">
        <v>983</v>
      </c>
      <c r="E28" s="23" t="s">
        <v>641</v>
      </c>
      <c r="H28" t="s">
        <v>1107</v>
      </c>
    </row>
    <row r="29" spans="1:8" x14ac:dyDescent="0.25">
      <c r="A29" s="23" t="s">
        <v>984</v>
      </c>
      <c r="E29" s="23" t="s">
        <v>642</v>
      </c>
      <c r="H29" t="s">
        <v>1108</v>
      </c>
    </row>
    <row r="30" spans="1:8" x14ac:dyDescent="0.25">
      <c r="A30" s="23" t="s">
        <v>1068</v>
      </c>
      <c r="E30" s="23" t="s">
        <v>899</v>
      </c>
    </row>
    <row r="31" spans="1:8" x14ac:dyDescent="0.25">
      <c r="A31" s="23" t="s">
        <v>1063</v>
      </c>
      <c r="E31" s="23" t="s">
        <v>894</v>
      </c>
    </row>
    <row r="32" spans="1:8" x14ac:dyDescent="0.25">
      <c r="A32" s="23" t="s">
        <v>997</v>
      </c>
      <c r="E32" s="23" t="s">
        <v>668</v>
      </c>
    </row>
    <row r="33" spans="1:8" x14ac:dyDescent="0.25">
      <c r="A33" s="23" t="s">
        <v>995</v>
      </c>
      <c r="E33" s="23" t="s">
        <v>664</v>
      </c>
    </row>
    <row r="34" spans="1:8" x14ac:dyDescent="0.25">
      <c r="A34" s="23" t="s">
        <v>1067</v>
      </c>
      <c r="E34" s="23" t="s">
        <v>898</v>
      </c>
    </row>
    <row r="35" spans="1:8" x14ac:dyDescent="0.25">
      <c r="A35" s="23" t="s">
        <v>1080</v>
      </c>
      <c r="E35" s="23" t="s">
        <v>913</v>
      </c>
    </row>
    <row r="36" spans="1:8" x14ac:dyDescent="0.25">
      <c r="A36" s="23" t="s">
        <v>1066</v>
      </c>
      <c r="E36" s="23" t="s">
        <v>897</v>
      </c>
    </row>
    <row r="37" spans="1:8" x14ac:dyDescent="0.25">
      <c r="A37" s="23" t="s">
        <v>1044</v>
      </c>
      <c r="E37" s="23" t="s">
        <v>801</v>
      </c>
    </row>
    <row r="38" spans="1:8" x14ac:dyDescent="0.25">
      <c r="A38" s="23" t="s">
        <v>1045</v>
      </c>
      <c r="E38" s="23" t="s">
        <v>802</v>
      </c>
    </row>
    <row r="39" spans="1:8" x14ac:dyDescent="0.25">
      <c r="A39" s="23" t="s">
        <v>1007</v>
      </c>
      <c r="E39" s="23" t="s">
        <v>704</v>
      </c>
    </row>
    <row r="40" spans="1:8" x14ac:dyDescent="0.25">
      <c r="A40" s="23" t="s">
        <v>987</v>
      </c>
      <c r="E40" s="23" t="s">
        <v>645</v>
      </c>
      <c r="H40" t="s">
        <v>1111</v>
      </c>
    </row>
    <row r="41" spans="1:8" x14ac:dyDescent="0.25">
      <c r="A41" s="23" t="s">
        <v>988</v>
      </c>
      <c r="E41" s="23" t="s">
        <v>646</v>
      </c>
      <c r="H41" t="s">
        <v>1112</v>
      </c>
    </row>
    <row r="42" spans="1:8" x14ac:dyDescent="0.25">
      <c r="A42" s="23" t="s">
        <v>999</v>
      </c>
      <c r="E42" s="23" t="s">
        <v>674</v>
      </c>
    </row>
    <row r="43" spans="1:8" x14ac:dyDescent="0.25">
      <c r="A43" s="23" t="s">
        <v>1001</v>
      </c>
      <c r="E43" s="23" t="s">
        <v>687</v>
      </c>
    </row>
    <row r="44" spans="1:8" x14ac:dyDescent="0.25">
      <c r="A44" s="23" t="s">
        <v>1022</v>
      </c>
      <c r="E44" s="23" t="s">
        <v>740</v>
      </c>
      <c r="H44" t="s">
        <v>1132</v>
      </c>
    </row>
    <row r="45" spans="1:8" x14ac:dyDescent="0.25">
      <c r="A45" s="23" t="s">
        <v>1023</v>
      </c>
      <c r="E45" s="23" t="s">
        <v>741</v>
      </c>
      <c r="H45" t="s">
        <v>1133</v>
      </c>
    </row>
    <row r="46" spans="1:8" x14ac:dyDescent="0.25">
      <c r="A46" s="23" t="s">
        <v>1065</v>
      </c>
      <c r="E46" s="23" t="s">
        <v>896</v>
      </c>
    </row>
    <row r="47" spans="1:8" x14ac:dyDescent="0.25">
      <c r="A47" s="23" t="s">
        <v>1069</v>
      </c>
      <c r="E47" s="23" t="s">
        <v>900</v>
      </c>
    </row>
    <row r="48" spans="1:8" x14ac:dyDescent="0.25">
      <c r="A48" s="23" t="s">
        <v>989</v>
      </c>
      <c r="E48" s="23" t="s">
        <v>647</v>
      </c>
      <c r="H48" t="s">
        <v>1113</v>
      </c>
    </row>
    <row r="49" spans="1:8" x14ac:dyDescent="0.25">
      <c r="A49" s="23" t="s">
        <v>1016</v>
      </c>
      <c r="E49" s="23" t="s">
        <v>720</v>
      </c>
    </row>
    <row r="50" spans="1:8" x14ac:dyDescent="0.25">
      <c r="A50" s="23" t="s">
        <v>990</v>
      </c>
      <c r="E50" s="23" t="s">
        <v>648</v>
      </c>
      <c r="H50" t="s">
        <v>1114</v>
      </c>
    </row>
    <row r="51" spans="1:8" x14ac:dyDescent="0.25">
      <c r="A51" s="23" t="s">
        <v>991</v>
      </c>
      <c r="E51" s="23" t="s">
        <v>649</v>
      </c>
      <c r="H51" t="s">
        <v>1115</v>
      </c>
    </row>
    <row r="52" spans="1:8" x14ac:dyDescent="0.25">
      <c r="A52" s="23" t="s">
        <v>986</v>
      </c>
      <c r="E52" s="23" t="s">
        <v>644</v>
      </c>
      <c r="H52" t="s">
        <v>1110</v>
      </c>
    </row>
    <row r="53" spans="1:8" x14ac:dyDescent="0.25">
      <c r="A53" s="23" t="s">
        <v>1035</v>
      </c>
      <c r="E53" s="23" t="s">
        <v>772</v>
      </c>
      <c r="H53" t="s">
        <v>1145</v>
      </c>
    </row>
    <row r="54" spans="1:8" x14ac:dyDescent="0.25">
      <c r="A54" s="23" t="s">
        <v>1025</v>
      </c>
      <c r="E54" s="23" t="s">
        <v>749</v>
      </c>
      <c r="H54" t="s">
        <v>1135</v>
      </c>
    </row>
    <row r="55" spans="1:8" x14ac:dyDescent="0.25">
      <c r="A55" s="23" t="s">
        <v>1034</v>
      </c>
      <c r="E55" s="23" t="s">
        <v>771</v>
      </c>
      <c r="H55" t="s">
        <v>1144</v>
      </c>
    </row>
    <row r="56" spans="1:8" x14ac:dyDescent="0.25">
      <c r="A56" s="23" t="s">
        <v>1043</v>
      </c>
      <c r="E56" s="23" t="s">
        <v>800</v>
      </c>
      <c r="H56" t="s">
        <v>1146</v>
      </c>
    </row>
    <row r="57" spans="1:8" x14ac:dyDescent="0.25">
      <c r="A57" s="23" t="s">
        <v>1021</v>
      </c>
      <c r="E57" s="23" t="s">
        <v>738</v>
      </c>
      <c r="H57" t="s">
        <v>1131</v>
      </c>
    </row>
    <row r="58" spans="1:8" x14ac:dyDescent="0.25">
      <c r="A58" s="23" t="s">
        <v>1028</v>
      </c>
      <c r="E58" s="23" t="s">
        <v>761</v>
      </c>
      <c r="H58" t="s">
        <v>1141</v>
      </c>
    </row>
    <row r="59" spans="1:8" x14ac:dyDescent="0.25">
      <c r="A59" s="23" t="s">
        <v>1060</v>
      </c>
      <c r="E59" s="23" t="s">
        <v>854</v>
      </c>
    </row>
    <row r="60" spans="1:8" x14ac:dyDescent="0.25">
      <c r="A60" s="23" t="s">
        <v>985</v>
      </c>
      <c r="E60" s="23" t="s">
        <v>643</v>
      </c>
      <c r="H60" t="s">
        <v>1109</v>
      </c>
    </row>
    <row r="61" spans="1:8" x14ac:dyDescent="0.25">
      <c r="A61" s="23" t="s">
        <v>1081</v>
      </c>
      <c r="E61" s="23" t="s">
        <v>915</v>
      </c>
    </row>
    <row r="62" spans="1:8" x14ac:dyDescent="0.25">
      <c r="A62" s="23" t="s">
        <v>1019</v>
      </c>
      <c r="E62" s="23" t="s">
        <v>728</v>
      </c>
    </row>
    <row r="63" spans="1:8" x14ac:dyDescent="0.25">
      <c r="A63" s="23" t="s">
        <v>1027</v>
      </c>
      <c r="E63" s="23" t="s">
        <v>755</v>
      </c>
    </row>
    <row r="64" spans="1:8" x14ac:dyDescent="0.25">
      <c r="A64" s="23" t="s">
        <v>1039</v>
      </c>
      <c r="E64" s="23" t="s">
        <v>786</v>
      </c>
    </row>
    <row r="65" spans="1:8" x14ac:dyDescent="0.25">
      <c r="A65" s="23" t="s">
        <v>1026</v>
      </c>
      <c r="E65" s="23" t="s">
        <v>753</v>
      </c>
      <c r="H65" t="s">
        <v>1139</v>
      </c>
    </row>
    <row r="66" spans="1:8" x14ac:dyDescent="0.25">
      <c r="A66" s="23" t="s">
        <v>1050</v>
      </c>
      <c r="E66" s="23" t="s">
        <v>835</v>
      </c>
    </row>
    <row r="67" spans="1:8" x14ac:dyDescent="0.25">
      <c r="A67" s="23" t="s">
        <v>1089</v>
      </c>
      <c r="E67" s="23" t="s">
        <v>932</v>
      </c>
    </row>
    <row r="68" spans="1:8" x14ac:dyDescent="0.25">
      <c r="A68" s="23" t="s">
        <v>992</v>
      </c>
      <c r="E68" s="23" t="s">
        <v>650</v>
      </c>
      <c r="H68" t="s">
        <v>1116</v>
      </c>
    </row>
    <row r="69" spans="1:8" x14ac:dyDescent="0.25">
      <c r="A69" s="23" t="s">
        <v>1000</v>
      </c>
      <c r="E69" s="23" t="s">
        <v>683</v>
      </c>
    </row>
    <row r="70" spans="1:8" x14ac:dyDescent="0.25">
      <c r="A70" s="23" t="s">
        <v>1014</v>
      </c>
      <c r="E70" s="23" t="s">
        <v>717</v>
      </c>
    </row>
    <row r="71" spans="1:8" x14ac:dyDescent="0.25">
      <c r="A71" s="23" t="s">
        <v>978</v>
      </c>
      <c r="E71" s="23" t="s">
        <v>636</v>
      </c>
      <c r="H71" t="s">
        <v>1102</v>
      </c>
    </row>
    <row r="72" spans="1:8" x14ac:dyDescent="0.25">
      <c r="A72" s="23" t="s">
        <v>562</v>
      </c>
      <c r="B72" t="s">
        <v>1201</v>
      </c>
      <c r="C72" s="6" t="s">
        <v>1670</v>
      </c>
      <c r="E72" s="23" t="s">
        <v>778</v>
      </c>
      <c r="F72" t="s">
        <v>778</v>
      </c>
    </row>
    <row r="73" spans="1:8" x14ac:dyDescent="0.25">
      <c r="A73" s="23" t="s">
        <v>563</v>
      </c>
      <c r="B73" t="s">
        <v>1201</v>
      </c>
      <c r="C73" s="6" t="s">
        <v>1671</v>
      </c>
      <c r="E73" s="23" t="s">
        <v>779</v>
      </c>
      <c r="F73" t="s">
        <v>779</v>
      </c>
    </row>
    <row r="74" spans="1:8" x14ac:dyDescent="0.25">
      <c r="A74" s="23" t="s">
        <v>564</v>
      </c>
      <c r="B74" t="s">
        <v>1201</v>
      </c>
      <c r="C74" s="6" t="s">
        <v>1672</v>
      </c>
      <c r="E74" s="23" t="s">
        <v>780</v>
      </c>
      <c r="F74" t="s">
        <v>780</v>
      </c>
    </row>
    <row r="75" spans="1:8" x14ac:dyDescent="0.25">
      <c r="A75" s="23" t="s">
        <v>565</v>
      </c>
      <c r="B75" t="s">
        <v>1201</v>
      </c>
      <c r="C75" s="6" t="s">
        <v>1673</v>
      </c>
      <c r="E75" s="23" t="s">
        <v>781</v>
      </c>
      <c r="F75" t="s">
        <v>781</v>
      </c>
    </row>
    <row r="76" spans="1:8" x14ac:dyDescent="0.25">
      <c r="A76" s="23" t="s">
        <v>566</v>
      </c>
      <c r="B76" t="s">
        <v>1201</v>
      </c>
      <c r="C76" s="6" t="s">
        <v>1674</v>
      </c>
      <c r="E76" s="23" t="s">
        <v>782</v>
      </c>
      <c r="F76" t="s">
        <v>782</v>
      </c>
    </row>
    <row r="77" spans="1:8" x14ac:dyDescent="0.25">
      <c r="A77" s="23" t="s">
        <v>567</v>
      </c>
      <c r="B77" t="s">
        <v>1201</v>
      </c>
      <c r="C77" s="6" t="s">
        <v>1675</v>
      </c>
      <c r="E77" s="23" t="s">
        <v>783</v>
      </c>
      <c r="F77" t="s">
        <v>783</v>
      </c>
    </row>
    <row r="78" spans="1:8" x14ac:dyDescent="0.25">
      <c r="A78" s="23" t="s">
        <v>568</v>
      </c>
      <c r="B78" t="s">
        <v>1201</v>
      </c>
      <c r="C78" s="6" t="s">
        <v>1676</v>
      </c>
      <c r="E78" s="23" t="s">
        <v>784</v>
      </c>
      <c r="F78" t="s">
        <v>784</v>
      </c>
    </row>
    <row r="79" spans="1:8" x14ac:dyDescent="0.25">
      <c r="A79" s="23" t="s">
        <v>569</v>
      </c>
      <c r="B79" t="s">
        <v>1201</v>
      </c>
      <c r="C79" s="6" t="s">
        <v>1677</v>
      </c>
      <c r="E79" s="23" t="s">
        <v>799</v>
      </c>
      <c r="F79" t="s">
        <v>799</v>
      </c>
    </row>
    <row r="80" spans="1:8" x14ac:dyDescent="0.25">
      <c r="A80" s="23" t="s">
        <v>571</v>
      </c>
      <c r="B80" t="s">
        <v>1201</v>
      </c>
      <c r="C80" s="6" t="s">
        <v>1678</v>
      </c>
      <c r="E80" s="23" t="s">
        <v>925</v>
      </c>
      <c r="F80" t="s">
        <v>925</v>
      </c>
    </row>
    <row r="81" spans="1:8" x14ac:dyDescent="0.25">
      <c r="A81" s="23" t="s">
        <v>570</v>
      </c>
      <c r="B81" t="s">
        <v>1201</v>
      </c>
      <c r="C81" s="6" t="s">
        <v>1679</v>
      </c>
      <c r="E81" s="23" t="s">
        <v>926</v>
      </c>
      <c r="F81" t="s">
        <v>926</v>
      </c>
    </row>
    <row r="82" spans="1:8" x14ac:dyDescent="0.25">
      <c r="A82" s="23" t="s">
        <v>527</v>
      </c>
      <c r="B82" t="s">
        <v>1201</v>
      </c>
      <c r="C82" s="6" t="s">
        <v>1251</v>
      </c>
      <c r="E82" s="23" t="s">
        <v>959</v>
      </c>
      <c r="F82" t="s">
        <v>1595</v>
      </c>
    </row>
    <row r="83" spans="1:8" x14ac:dyDescent="0.25">
      <c r="A83" s="23" t="s">
        <v>528</v>
      </c>
      <c r="B83" t="s">
        <v>1201</v>
      </c>
      <c r="C83" s="6" t="s">
        <v>1252</v>
      </c>
      <c r="E83" s="23" t="s">
        <v>958</v>
      </c>
      <c r="F83" t="s">
        <v>1596</v>
      </c>
    </row>
    <row r="84" spans="1:8" x14ac:dyDescent="0.25">
      <c r="A84" s="23" t="s">
        <v>529</v>
      </c>
      <c r="B84" t="s">
        <v>1201</v>
      </c>
      <c r="C84" s="6" t="s">
        <v>1253</v>
      </c>
      <c r="E84" s="23" t="s">
        <v>960</v>
      </c>
      <c r="F84" t="s">
        <v>1597</v>
      </c>
    </row>
    <row r="85" spans="1:8" x14ac:dyDescent="0.25">
      <c r="A85" s="23" t="s">
        <v>979</v>
      </c>
      <c r="E85" s="23" t="s">
        <v>637</v>
      </c>
      <c r="H85" t="s">
        <v>1103</v>
      </c>
    </row>
    <row r="86" spans="1:8" x14ac:dyDescent="0.25">
      <c r="A86" s="23" t="s">
        <v>1070</v>
      </c>
      <c r="E86" s="23" t="s">
        <v>901</v>
      </c>
    </row>
    <row r="87" spans="1:8" x14ac:dyDescent="0.25">
      <c r="A87" s="23" t="s">
        <v>1033</v>
      </c>
      <c r="E87" s="23" t="s">
        <v>770</v>
      </c>
    </row>
    <row r="88" spans="1:8" x14ac:dyDescent="0.25">
      <c r="A88" s="23" t="s">
        <v>1047</v>
      </c>
      <c r="E88" s="23" t="s">
        <v>814</v>
      </c>
    </row>
    <row r="89" spans="1:8" x14ac:dyDescent="0.25">
      <c r="A89" s="23" t="s">
        <v>1032</v>
      </c>
      <c r="E89" s="23" t="s">
        <v>769</v>
      </c>
    </row>
    <row r="90" spans="1:8" x14ac:dyDescent="0.25">
      <c r="A90" s="23" t="s">
        <v>389</v>
      </c>
      <c r="E90" s="23" t="s">
        <v>651</v>
      </c>
      <c r="H90" t="s">
        <v>1117</v>
      </c>
    </row>
    <row r="91" spans="1:8" x14ac:dyDescent="0.25">
      <c r="A91" s="23" t="s">
        <v>400</v>
      </c>
      <c r="E91" s="23" t="s">
        <v>670</v>
      </c>
    </row>
    <row r="92" spans="1:8" x14ac:dyDescent="0.25">
      <c r="A92" s="23" t="s">
        <v>401</v>
      </c>
      <c r="E92" s="23" t="s">
        <v>725</v>
      </c>
    </row>
    <row r="93" spans="1:8" x14ac:dyDescent="0.25">
      <c r="A93" s="23" t="s">
        <v>462</v>
      </c>
      <c r="E93" s="23" t="s">
        <v>924</v>
      </c>
    </row>
    <row r="94" spans="1:8" x14ac:dyDescent="0.25">
      <c r="A94" s="23" t="s">
        <v>465</v>
      </c>
      <c r="E94" s="23" t="s">
        <v>923</v>
      </c>
    </row>
    <row r="95" spans="1:8" x14ac:dyDescent="0.25">
      <c r="A95" s="23" t="s">
        <v>475</v>
      </c>
      <c r="E95" s="23" t="s">
        <v>652</v>
      </c>
      <c r="H95" t="s">
        <v>1118</v>
      </c>
    </row>
    <row r="96" spans="1:8" x14ac:dyDescent="0.25">
      <c r="A96" s="23" t="s">
        <v>402</v>
      </c>
      <c r="E96" s="23" t="s">
        <v>723</v>
      </c>
    </row>
    <row r="97" spans="1:8" x14ac:dyDescent="0.25">
      <c r="A97" s="23" t="s">
        <v>472</v>
      </c>
      <c r="E97" s="23" t="s">
        <v>914</v>
      </c>
    </row>
    <row r="98" spans="1:8" x14ac:dyDescent="0.25">
      <c r="A98" s="23" t="s">
        <v>403</v>
      </c>
      <c r="E98" s="23" t="s">
        <v>823</v>
      </c>
    </row>
    <row r="99" spans="1:8" x14ac:dyDescent="0.25">
      <c r="A99" s="23" t="s">
        <v>388</v>
      </c>
      <c r="E99" s="23" t="s">
        <v>653</v>
      </c>
      <c r="H99" t="s">
        <v>1119</v>
      </c>
    </row>
    <row r="100" spans="1:8" x14ac:dyDescent="0.25">
      <c r="A100" s="23" t="s">
        <v>451</v>
      </c>
      <c r="E100" s="23" t="s">
        <v>671</v>
      </c>
    </row>
    <row r="101" spans="1:8" x14ac:dyDescent="0.25">
      <c r="A101" s="23" t="s">
        <v>386</v>
      </c>
      <c r="E101" s="23" t="s">
        <v>654</v>
      </c>
      <c r="H101" t="s">
        <v>1120</v>
      </c>
    </row>
    <row r="102" spans="1:8" x14ac:dyDescent="0.25">
      <c r="A102" s="23" t="s">
        <v>481</v>
      </c>
      <c r="E102" s="23" t="s">
        <v>832</v>
      </c>
    </row>
    <row r="103" spans="1:8" x14ac:dyDescent="0.25">
      <c r="A103" s="23" t="s">
        <v>390</v>
      </c>
      <c r="E103" s="23" t="s">
        <v>655</v>
      </c>
      <c r="H103" t="s">
        <v>1121</v>
      </c>
    </row>
    <row r="104" spans="1:8" x14ac:dyDescent="0.25">
      <c r="A104" s="23" t="s">
        <v>396</v>
      </c>
      <c r="E104" s="23" t="s">
        <v>677</v>
      </c>
    </row>
    <row r="105" spans="1:8" x14ac:dyDescent="0.25">
      <c r="A105" s="23" t="s">
        <v>482</v>
      </c>
      <c r="E105" s="23" t="s">
        <v>798</v>
      </c>
    </row>
    <row r="106" spans="1:8" x14ac:dyDescent="0.25">
      <c r="A106" s="23" t="s">
        <v>579</v>
      </c>
      <c r="E106" s="23" t="s">
        <v>962</v>
      </c>
    </row>
    <row r="107" spans="1:8" x14ac:dyDescent="0.25">
      <c r="A107" s="23" t="s">
        <v>405</v>
      </c>
      <c r="E107" s="23" t="s">
        <v>692</v>
      </c>
    </row>
    <row r="108" spans="1:8" x14ac:dyDescent="0.25">
      <c r="A108" s="23" t="s">
        <v>554</v>
      </c>
      <c r="E108" s="23" t="s">
        <v>936</v>
      </c>
    </row>
    <row r="109" spans="1:8" x14ac:dyDescent="0.25">
      <c r="A109" s="23" t="s">
        <v>555</v>
      </c>
      <c r="E109" s="23" t="s">
        <v>936</v>
      </c>
    </row>
    <row r="110" spans="1:8" x14ac:dyDescent="0.25">
      <c r="A110" s="23" t="s">
        <v>440</v>
      </c>
      <c r="E110" s="23" t="s">
        <v>821</v>
      </c>
    </row>
    <row r="111" spans="1:8" x14ac:dyDescent="0.25">
      <c r="A111" s="23" t="s">
        <v>428</v>
      </c>
      <c r="E111" s="23" t="s">
        <v>693</v>
      </c>
    </row>
    <row r="112" spans="1:8" x14ac:dyDescent="0.25">
      <c r="A112" s="23" t="s">
        <v>549</v>
      </c>
      <c r="E112" s="23" t="s">
        <v>694</v>
      </c>
    </row>
    <row r="113" spans="1:8" x14ac:dyDescent="0.25">
      <c r="A113" s="23" t="s">
        <v>406</v>
      </c>
      <c r="E113" s="23" t="s">
        <v>871</v>
      </c>
    </row>
    <row r="114" spans="1:8" x14ac:dyDescent="0.25">
      <c r="A114" s="23" t="s">
        <v>464</v>
      </c>
      <c r="E114" s="23" t="s">
        <v>930</v>
      </c>
    </row>
    <row r="115" spans="1:8" x14ac:dyDescent="0.25">
      <c r="A115" s="23" t="s">
        <v>1084</v>
      </c>
      <c r="E115" s="23" t="s">
        <v>918</v>
      </c>
    </row>
    <row r="116" spans="1:8" x14ac:dyDescent="0.25">
      <c r="A116" s="23" t="s">
        <v>458</v>
      </c>
      <c r="E116" s="23" t="s">
        <v>856</v>
      </c>
    </row>
    <row r="117" spans="1:8" x14ac:dyDescent="0.25">
      <c r="A117" s="23" t="s">
        <v>441</v>
      </c>
      <c r="E117" s="23" t="s">
        <v>820</v>
      </c>
    </row>
    <row r="118" spans="1:8" x14ac:dyDescent="0.25">
      <c r="A118" s="23" t="s">
        <v>427</v>
      </c>
      <c r="E118" s="23" t="s">
        <v>678</v>
      </c>
    </row>
    <row r="119" spans="1:8" x14ac:dyDescent="0.25">
      <c r="A119" s="23" t="s">
        <v>436</v>
      </c>
      <c r="E119" s="23" t="s">
        <v>818</v>
      </c>
    </row>
    <row r="120" spans="1:8" x14ac:dyDescent="0.25">
      <c r="A120" s="23" t="s">
        <v>580</v>
      </c>
      <c r="E120" s="23" t="s">
        <v>963</v>
      </c>
    </row>
    <row r="121" spans="1:8" x14ac:dyDescent="0.25">
      <c r="A121" s="23" t="s">
        <v>397</v>
      </c>
      <c r="E121" s="23" t="s">
        <v>679</v>
      </c>
    </row>
    <row r="122" spans="1:8" x14ac:dyDescent="0.25">
      <c r="A122" s="23" t="s">
        <v>445</v>
      </c>
      <c r="E122" s="23" t="s">
        <v>867</v>
      </c>
    </row>
    <row r="123" spans="1:8" x14ac:dyDescent="0.25">
      <c r="A123" s="23" t="s">
        <v>467</v>
      </c>
      <c r="E123" s="23" t="s">
        <v>867</v>
      </c>
    </row>
    <row r="124" spans="1:8" x14ac:dyDescent="0.25">
      <c r="A124" s="23" t="s">
        <v>407</v>
      </c>
      <c r="E124" s="23" t="s">
        <v>695</v>
      </c>
    </row>
    <row r="125" spans="1:8" x14ac:dyDescent="0.25">
      <c r="A125" s="23" t="s">
        <v>468</v>
      </c>
      <c r="E125" s="23" t="s">
        <v>969</v>
      </c>
    </row>
    <row r="126" spans="1:8" x14ac:dyDescent="0.25">
      <c r="A126" s="23" t="s">
        <v>459</v>
      </c>
      <c r="E126" s="23" t="s">
        <v>864</v>
      </c>
    </row>
    <row r="127" spans="1:8" x14ac:dyDescent="0.25">
      <c r="A127" s="23" t="s">
        <v>552</v>
      </c>
      <c r="E127" s="23" t="s">
        <v>750</v>
      </c>
      <c r="H127" t="s">
        <v>1136</v>
      </c>
    </row>
    <row r="128" spans="1:8" x14ac:dyDescent="0.25">
      <c r="A128" s="23" t="s">
        <v>581</v>
      </c>
      <c r="E128" s="23" t="s">
        <v>967</v>
      </c>
    </row>
    <row r="129" spans="1:8" x14ac:dyDescent="0.25">
      <c r="A129" s="23" t="s">
        <v>582</v>
      </c>
      <c r="E129" s="23" t="s">
        <v>966</v>
      </c>
    </row>
    <row r="130" spans="1:8" x14ac:dyDescent="0.25">
      <c r="A130" s="23" t="s">
        <v>408</v>
      </c>
      <c r="E130" s="23" t="s">
        <v>684</v>
      </c>
    </row>
    <row r="131" spans="1:8" x14ac:dyDescent="0.25">
      <c r="A131" s="23" t="s">
        <v>456</v>
      </c>
      <c r="E131" s="23" t="s">
        <v>830</v>
      </c>
    </row>
    <row r="132" spans="1:8" x14ac:dyDescent="0.25">
      <c r="A132" s="23" t="s">
        <v>409</v>
      </c>
      <c r="E132" s="23" t="s">
        <v>875</v>
      </c>
    </row>
    <row r="133" spans="1:8" x14ac:dyDescent="0.25">
      <c r="A133" s="23" t="s">
        <v>576</v>
      </c>
      <c r="E133" s="23" t="s">
        <v>806</v>
      </c>
    </row>
    <row r="134" spans="1:8" x14ac:dyDescent="0.25">
      <c r="A134" s="23" t="s">
        <v>577</v>
      </c>
      <c r="E134" s="23" t="s">
        <v>910</v>
      </c>
    </row>
    <row r="135" spans="1:8" x14ac:dyDescent="0.25">
      <c r="A135" s="23" t="s">
        <v>410</v>
      </c>
      <c r="E135" s="23" t="s">
        <v>869</v>
      </c>
    </row>
    <row r="136" spans="1:8" x14ac:dyDescent="0.25">
      <c r="A136" s="23" t="s">
        <v>391</v>
      </c>
      <c r="E136" s="23" t="s">
        <v>656</v>
      </c>
      <c r="H136" t="s">
        <v>1122</v>
      </c>
    </row>
    <row r="137" spans="1:8" x14ac:dyDescent="0.25">
      <c r="A137" s="23" t="s">
        <v>583</v>
      </c>
      <c r="E137" s="23" t="s">
        <v>965</v>
      </c>
    </row>
    <row r="138" spans="1:8" x14ac:dyDescent="0.25">
      <c r="A138" s="23" t="s">
        <v>411</v>
      </c>
      <c r="E138" s="23" t="s">
        <v>824</v>
      </c>
    </row>
    <row r="139" spans="1:8" x14ac:dyDescent="0.25">
      <c r="A139" s="23" t="s">
        <v>486</v>
      </c>
      <c r="E139" s="23" t="s">
        <v>939</v>
      </c>
    </row>
    <row r="140" spans="1:8" x14ac:dyDescent="0.25">
      <c r="A140" s="23" t="s">
        <v>553</v>
      </c>
      <c r="E140" s="23" t="s">
        <v>707</v>
      </c>
    </row>
    <row r="141" spans="1:8" x14ac:dyDescent="0.25">
      <c r="A141" s="23" t="s">
        <v>448</v>
      </c>
      <c r="E141" s="23" t="s">
        <v>675</v>
      </c>
    </row>
    <row r="142" spans="1:8" x14ac:dyDescent="0.25">
      <c r="A142" s="23" t="s">
        <v>444</v>
      </c>
      <c r="E142" s="23" t="s">
        <v>848</v>
      </c>
    </row>
    <row r="143" spans="1:8" x14ac:dyDescent="0.25">
      <c r="A143" s="23" t="s">
        <v>404</v>
      </c>
      <c r="E143" s="23" t="s">
        <v>657</v>
      </c>
      <c r="H143" t="s">
        <v>1123</v>
      </c>
    </row>
    <row r="144" spans="1:8" x14ac:dyDescent="0.25">
      <c r="A144" s="23" t="s">
        <v>447</v>
      </c>
      <c r="E144" s="23" t="s">
        <v>805</v>
      </c>
    </row>
    <row r="145" spans="1:5" x14ac:dyDescent="0.25">
      <c r="A145" s="23" t="s">
        <v>1008</v>
      </c>
      <c r="E145" s="23" t="s">
        <v>705</v>
      </c>
    </row>
    <row r="146" spans="1:5" x14ac:dyDescent="0.25">
      <c r="A146" s="23" t="s">
        <v>484</v>
      </c>
      <c r="E146" s="23" t="s">
        <v>921</v>
      </c>
    </row>
    <row r="147" spans="1:5" x14ac:dyDescent="0.25">
      <c r="A147" s="23" t="s">
        <v>412</v>
      </c>
      <c r="E147" s="23" t="s">
        <v>706</v>
      </c>
    </row>
    <row r="148" spans="1:5" x14ac:dyDescent="0.25">
      <c r="A148" s="23" t="s">
        <v>541</v>
      </c>
      <c r="E148" s="23" t="s">
        <v>843</v>
      </c>
    </row>
    <row r="149" spans="1:5" x14ac:dyDescent="0.25">
      <c r="A149" s="23" t="s">
        <v>398</v>
      </c>
      <c r="E149" s="23" t="s">
        <v>680</v>
      </c>
    </row>
    <row r="150" spans="1:5" x14ac:dyDescent="0.25">
      <c r="A150" s="23" t="s">
        <v>585</v>
      </c>
      <c r="E150" s="23" t="s">
        <v>968</v>
      </c>
    </row>
    <row r="151" spans="1:5" x14ac:dyDescent="0.25">
      <c r="A151" s="23" t="s">
        <v>395</v>
      </c>
      <c r="E151" s="23" t="s">
        <v>817</v>
      </c>
    </row>
    <row r="152" spans="1:5" x14ac:dyDescent="0.25">
      <c r="A152" s="23" t="s">
        <v>578</v>
      </c>
      <c r="E152" s="23" t="s">
        <v>911</v>
      </c>
    </row>
    <row r="153" spans="1:5" x14ac:dyDescent="0.25">
      <c r="A153" s="23" t="s">
        <v>488</v>
      </c>
      <c r="E153" s="23" t="s">
        <v>697</v>
      </c>
    </row>
    <row r="154" spans="1:5" x14ac:dyDescent="0.25">
      <c r="A154" s="23" t="s">
        <v>387</v>
      </c>
      <c r="E154" s="23" t="s">
        <v>713</v>
      </c>
    </row>
    <row r="155" spans="1:5" x14ac:dyDescent="0.25">
      <c r="A155" s="23" t="s">
        <v>466</v>
      </c>
      <c r="E155" s="23" t="s">
        <v>937</v>
      </c>
    </row>
    <row r="156" spans="1:5" x14ac:dyDescent="0.25">
      <c r="A156" s="23" t="s">
        <v>429</v>
      </c>
      <c r="E156" s="23" t="s">
        <v>681</v>
      </c>
    </row>
    <row r="157" spans="1:5" x14ac:dyDescent="0.25">
      <c r="A157" s="23" t="s">
        <v>413</v>
      </c>
      <c r="E157" s="23" t="s">
        <v>724</v>
      </c>
    </row>
    <row r="158" spans="1:5" x14ac:dyDescent="0.25">
      <c r="A158" s="23" t="s">
        <v>483</v>
      </c>
      <c r="E158" s="23" t="s">
        <v>815</v>
      </c>
    </row>
    <row r="159" spans="1:5" x14ac:dyDescent="0.25">
      <c r="A159" s="23" t="s">
        <v>424</v>
      </c>
      <c r="E159" s="23" t="s">
        <v>825</v>
      </c>
    </row>
    <row r="160" spans="1:5" x14ac:dyDescent="0.25">
      <c r="A160" s="23" t="s">
        <v>461</v>
      </c>
      <c r="E160" s="23" t="s">
        <v>868</v>
      </c>
    </row>
    <row r="161" spans="1:8" x14ac:dyDescent="0.25">
      <c r="A161" s="23" t="s">
        <v>426</v>
      </c>
      <c r="E161" s="23" t="s">
        <v>919</v>
      </c>
    </row>
    <row r="162" spans="1:8" x14ac:dyDescent="0.25">
      <c r="A162" s="23" t="s">
        <v>414</v>
      </c>
      <c r="E162" s="23" t="s">
        <v>865</v>
      </c>
    </row>
    <row r="163" spans="1:8" x14ac:dyDescent="0.25">
      <c r="A163" s="23" t="s">
        <v>437</v>
      </c>
      <c r="E163" s="23" t="s">
        <v>817</v>
      </c>
    </row>
    <row r="164" spans="1:8" x14ac:dyDescent="0.25">
      <c r="A164" s="23" t="s">
        <v>415</v>
      </c>
      <c r="E164" s="23" t="s">
        <v>881</v>
      </c>
    </row>
    <row r="165" spans="1:8" x14ac:dyDescent="0.25">
      <c r="A165" s="23" t="s">
        <v>480</v>
      </c>
      <c r="E165" s="23" t="s">
        <v>698</v>
      </c>
    </row>
    <row r="166" spans="1:8" x14ac:dyDescent="0.25">
      <c r="A166" s="23" t="s">
        <v>449</v>
      </c>
      <c r="E166" s="23" t="s">
        <v>815</v>
      </c>
    </row>
    <row r="167" spans="1:8" x14ac:dyDescent="0.25">
      <c r="A167" s="23" t="s">
        <v>485</v>
      </c>
      <c r="E167" s="23" t="s">
        <v>933</v>
      </c>
    </row>
    <row r="168" spans="1:8" x14ac:dyDescent="0.25">
      <c r="A168" s="23" t="s">
        <v>460</v>
      </c>
      <c r="E168" s="23" t="s">
        <v>863</v>
      </c>
    </row>
    <row r="169" spans="1:8" x14ac:dyDescent="0.25">
      <c r="A169" s="23" t="s">
        <v>550</v>
      </c>
      <c r="E169" s="23" t="s">
        <v>803</v>
      </c>
    </row>
    <row r="170" spans="1:8" x14ac:dyDescent="0.25">
      <c r="A170" s="23" t="s">
        <v>446</v>
      </c>
      <c r="E170" s="23" t="s">
        <v>872</v>
      </c>
    </row>
    <row r="171" spans="1:8" x14ac:dyDescent="0.25">
      <c r="A171" s="23" t="s">
        <v>425</v>
      </c>
      <c r="E171" s="23" t="s">
        <v>872</v>
      </c>
    </row>
    <row r="172" spans="1:8" x14ac:dyDescent="0.25">
      <c r="A172" s="23" t="s">
        <v>455</v>
      </c>
      <c r="E172" s="23" t="s">
        <v>829</v>
      </c>
    </row>
    <row r="173" spans="1:8" x14ac:dyDescent="0.25">
      <c r="A173" s="23" t="s">
        <v>452</v>
      </c>
      <c r="E173" s="23" t="s">
        <v>710</v>
      </c>
    </row>
    <row r="174" spans="1:8" x14ac:dyDescent="0.25">
      <c r="A174" s="23" t="s">
        <v>416</v>
      </c>
      <c r="E174" s="23" t="s">
        <v>876</v>
      </c>
    </row>
    <row r="175" spans="1:8" x14ac:dyDescent="0.25">
      <c r="A175" s="23" t="s">
        <v>417</v>
      </c>
      <c r="E175" s="23" t="s">
        <v>751</v>
      </c>
      <c r="H175" t="s">
        <v>1137</v>
      </c>
    </row>
    <row r="176" spans="1:8" x14ac:dyDescent="0.25">
      <c r="A176" s="23" t="s">
        <v>542</v>
      </c>
      <c r="E176" s="23" t="s">
        <v>798</v>
      </c>
    </row>
    <row r="177" spans="1:8" x14ac:dyDescent="0.25">
      <c r="A177" s="23" t="s">
        <v>438</v>
      </c>
      <c r="E177" s="23" t="s">
        <v>816</v>
      </c>
    </row>
    <row r="178" spans="1:8" x14ac:dyDescent="0.25">
      <c r="A178" s="23" t="s">
        <v>450</v>
      </c>
      <c r="E178" s="23" t="s">
        <v>658</v>
      </c>
      <c r="H178" t="s">
        <v>1124</v>
      </c>
    </row>
    <row r="179" spans="1:8" x14ac:dyDescent="0.25">
      <c r="A179" s="23" t="s">
        <v>439</v>
      </c>
      <c r="E179" s="23" t="s">
        <v>819</v>
      </c>
    </row>
    <row r="180" spans="1:8" x14ac:dyDescent="0.25">
      <c r="A180" s="23" t="s">
        <v>418</v>
      </c>
      <c r="E180" s="23" t="s">
        <v>685</v>
      </c>
    </row>
    <row r="181" spans="1:8" x14ac:dyDescent="0.25">
      <c r="A181" s="23" t="s">
        <v>399</v>
      </c>
      <c r="E181" s="23" t="s">
        <v>682</v>
      </c>
    </row>
    <row r="182" spans="1:8" x14ac:dyDescent="0.25">
      <c r="A182" s="23" t="s">
        <v>551</v>
      </c>
      <c r="E182" s="23" t="s">
        <v>826</v>
      </c>
    </row>
    <row r="183" spans="1:8" x14ac:dyDescent="0.25">
      <c r="A183" s="23" t="s">
        <v>473</v>
      </c>
      <c r="E183" s="23" t="s">
        <v>699</v>
      </c>
    </row>
    <row r="184" spans="1:8" x14ac:dyDescent="0.25">
      <c r="A184" s="23" t="s">
        <v>1051</v>
      </c>
      <c r="E184" s="23" t="s">
        <v>836</v>
      </c>
    </row>
    <row r="185" spans="1:8" x14ac:dyDescent="0.25">
      <c r="A185" s="23" t="s">
        <v>478</v>
      </c>
      <c r="E185" s="23" t="s">
        <v>700</v>
      </c>
    </row>
    <row r="186" spans="1:8" x14ac:dyDescent="0.25">
      <c r="A186" s="23" t="s">
        <v>1062</v>
      </c>
      <c r="E186" s="23" t="s">
        <v>877</v>
      </c>
    </row>
    <row r="187" spans="1:8" x14ac:dyDescent="0.25">
      <c r="A187" s="23" t="s">
        <v>454</v>
      </c>
      <c r="E187" s="23" t="s">
        <v>691</v>
      </c>
    </row>
    <row r="188" spans="1:8" x14ac:dyDescent="0.25">
      <c r="A188" s="23" t="s">
        <v>392</v>
      </c>
      <c r="E188" s="23" t="s">
        <v>659</v>
      </c>
      <c r="H188" t="s">
        <v>1125</v>
      </c>
    </row>
    <row r="189" spans="1:8" x14ac:dyDescent="0.25">
      <c r="A189" s="23" t="s">
        <v>463</v>
      </c>
      <c r="E189" s="23" t="s">
        <v>927</v>
      </c>
    </row>
    <row r="190" spans="1:8" x14ac:dyDescent="0.25">
      <c r="A190" s="23" t="s">
        <v>584</v>
      </c>
      <c r="E190" s="23" t="s">
        <v>964</v>
      </c>
    </row>
    <row r="191" spans="1:8" x14ac:dyDescent="0.25">
      <c r="A191" s="23" t="s">
        <v>419</v>
      </c>
      <c r="E191" s="23" t="s">
        <v>752</v>
      </c>
      <c r="H191" t="s">
        <v>1138</v>
      </c>
    </row>
    <row r="192" spans="1:8" x14ac:dyDescent="0.25">
      <c r="A192" s="23" t="s">
        <v>420</v>
      </c>
      <c r="E192" s="23" t="s">
        <v>831</v>
      </c>
    </row>
    <row r="193" spans="1:8" x14ac:dyDescent="0.25">
      <c r="A193" s="23" t="s">
        <v>443</v>
      </c>
      <c r="E193" s="23" t="s">
        <v>846</v>
      </c>
    </row>
    <row r="194" spans="1:8" x14ac:dyDescent="0.25">
      <c r="A194" s="23" t="s">
        <v>479</v>
      </c>
      <c r="E194" s="23" t="s">
        <v>676</v>
      </c>
    </row>
    <row r="195" spans="1:8" x14ac:dyDescent="0.25">
      <c r="A195" s="23" t="s">
        <v>477</v>
      </c>
      <c r="E195" s="23" t="s">
        <v>696</v>
      </c>
    </row>
    <row r="196" spans="1:8" x14ac:dyDescent="0.25">
      <c r="A196" s="23" t="s">
        <v>487</v>
      </c>
      <c r="E196" s="23" t="s">
        <v>970</v>
      </c>
    </row>
    <row r="197" spans="1:8" x14ac:dyDescent="0.25">
      <c r="A197" s="23" t="s">
        <v>421</v>
      </c>
      <c r="E197" s="23" t="s">
        <v>870</v>
      </c>
    </row>
    <row r="198" spans="1:8" x14ac:dyDescent="0.25">
      <c r="A198" s="23" t="s">
        <v>453</v>
      </c>
      <c r="E198" s="23" t="s">
        <v>686</v>
      </c>
    </row>
    <row r="199" spans="1:8" x14ac:dyDescent="0.25">
      <c r="A199" s="23" t="s">
        <v>394</v>
      </c>
      <c r="E199" s="23" t="s">
        <v>940</v>
      </c>
    </row>
    <row r="200" spans="1:8" x14ac:dyDescent="0.25">
      <c r="A200" s="23" t="s">
        <v>442</v>
      </c>
      <c r="E200" s="23" t="s">
        <v>827</v>
      </c>
    </row>
    <row r="201" spans="1:8" x14ac:dyDescent="0.25">
      <c r="A201" s="23" t="s">
        <v>422</v>
      </c>
      <c r="E201" s="23" t="s">
        <v>844</v>
      </c>
    </row>
    <row r="202" spans="1:8" x14ac:dyDescent="0.25">
      <c r="A202" s="23" t="s">
        <v>423</v>
      </c>
      <c r="E202" s="23" t="s">
        <v>840</v>
      </c>
    </row>
    <row r="203" spans="1:8" x14ac:dyDescent="0.25">
      <c r="A203" s="23" t="s">
        <v>457</v>
      </c>
      <c r="E203" s="23" t="s">
        <v>843</v>
      </c>
    </row>
    <row r="204" spans="1:8" x14ac:dyDescent="0.25">
      <c r="A204" s="23" t="s">
        <v>1064</v>
      </c>
      <c r="E204" s="23" t="s">
        <v>895</v>
      </c>
    </row>
    <row r="205" spans="1:8" x14ac:dyDescent="0.25">
      <c r="A205" s="23" t="s">
        <v>971</v>
      </c>
      <c r="B205" t="s">
        <v>1201</v>
      </c>
      <c r="C205" s="6" t="s">
        <v>1375</v>
      </c>
      <c r="E205" s="23" t="s">
        <v>627</v>
      </c>
      <c r="F205" t="s">
        <v>43</v>
      </c>
      <c r="G205" t="s">
        <v>1680</v>
      </c>
      <c r="H205" t="s">
        <v>1093</v>
      </c>
    </row>
    <row r="206" spans="1:8" x14ac:dyDescent="0.25">
      <c r="A206" s="23" t="s">
        <v>1086</v>
      </c>
      <c r="E206" s="23" t="s">
        <v>922</v>
      </c>
    </row>
    <row r="207" spans="1:8" x14ac:dyDescent="0.25">
      <c r="A207" s="23" t="s">
        <v>972</v>
      </c>
      <c r="B207" t="s">
        <v>1201</v>
      </c>
      <c r="C207" s="6" t="s">
        <v>1295</v>
      </c>
      <c r="E207" s="23" t="s">
        <v>628</v>
      </c>
      <c r="F207" t="s">
        <v>48</v>
      </c>
      <c r="G207" t="s">
        <v>1681</v>
      </c>
      <c r="H207" t="s">
        <v>1094</v>
      </c>
    </row>
    <row r="208" spans="1:8" x14ac:dyDescent="0.25">
      <c r="A208" s="23" t="s">
        <v>1077</v>
      </c>
      <c r="E208" s="23" t="s">
        <v>908</v>
      </c>
    </row>
    <row r="209" spans="1:8" x14ac:dyDescent="0.25">
      <c r="A209" s="23" t="s">
        <v>1078</v>
      </c>
      <c r="E209" s="23" t="s">
        <v>909</v>
      </c>
    </row>
    <row r="210" spans="1:8" x14ac:dyDescent="0.25">
      <c r="A210" s="23" t="s">
        <v>1092</v>
      </c>
      <c r="E210" s="23" t="s">
        <v>957</v>
      </c>
    </row>
    <row r="211" spans="1:8" x14ac:dyDescent="0.25">
      <c r="A211" s="23" t="s">
        <v>434</v>
      </c>
      <c r="B211" t="s">
        <v>1201</v>
      </c>
      <c r="C211" s="6" t="s">
        <v>1312</v>
      </c>
      <c r="E211" s="23" t="s">
        <v>760</v>
      </c>
      <c r="F211" t="s">
        <v>157</v>
      </c>
      <c r="G211" s="29"/>
    </row>
    <row r="212" spans="1:8" x14ac:dyDescent="0.25">
      <c r="A212" s="23" t="s">
        <v>433</v>
      </c>
      <c r="E212" s="23" t="s">
        <v>739</v>
      </c>
    </row>
    <row r="213" spans="1:8" x14ac:dyDescent="0.25">
      <c r="A213" s="23" t="s">
        <v>1076</v>
      </c>
      <c r="E213" s="23" t="s">
        <v>907</v>
      </c>
    </row>
    <row r="214" spans="1:8" x14ac:dyDescent="0.25">
      <c r="A214" s="23" t="s">
        <v>435</v>
      </c>
      <c r="B214" t="s">
        <v>1409</v>
      </c>
      <c r="C214" s="6" t="s">
        <v>1699</v>
      </c>
      <c r="E214" s="23" t="s">
        <v>777</v>
      </c>
      <c r="F214" t="s">
        <v>187</v>
      </c>
      <c r="G214" s="5" t="s">
        <v>1749</v>
      </c>
    </row>
    <row r="215" spans="1:8" x14ac:dyDescent="0.25">
      <c r="A215" s="23" t="s">
        <v>1003</v>
      </c>
      <c r="B215" t="s">
        <v>1201</v>
      </c>
      <c r="C215" s="6" t="s">
        <v>1700</v>
      </c>
      <c r="E215" s="23" t="s">
        <v>690</v>
      </c>
      <c r="F215" t="s">
        <v>49</v>
      </c>
      <c r="G215" t="s">
        <v>1682</v>
      </c>
    </row>
    <row r="216" spans="1:8" x14ac:dyDescent="0.25">
      <c r="A216" s="23" t="s">
        <v>613</v>
      </c>
      <c r="E216" s="23" t="s">
        <v>929</v>
      </c>
    </row>
    <row r="217" spans="1:8" x14ac:dyDescent="0.25">
      <c r="A217" s="23" t="s">
        <v>614</v>
      </c>
      <c r="E217" s="23" t="s">
        <v>902</v>
      </c>
    </row>
    <row r="218" spans="1:8" x14ac:dyDescent="0.25">
      <c r="A218" s="23" t="s">
        <v>973</v>
      </c>
      <c r="B218" t="s">
        <v>1201</v>
      </c>
      <c r="C218" s="6" t="s">
        <v>1318</v>
      </c>
      <c r="E218" s="23" t="s">
        <v>629</v>
      </c>
      <c r="F218" t="s">
        <v>35</v>
      </c>
      <c r="G218" t="s">
        <v>1683</v>
      </c>
      <c r="H218" t="s">
        <v>1095</v>
      </c>
    </row>
    <row r="219" spans="1:8" x14ac:dyDescent="0.25">
      <c r="A219" s="23" t="s">
        <v>610</v>
      </c>
      <c r="B219" t="s">
        <v>1201</v>
      </c>
      <c r="C219" s="6" t="s">
        <v>1317</v>
      </c>
      <c r="E219" s="23" t="s">
        <v>630</v>
      </c>
      <c r="F219" t="s">
        <v>64</v>
      </c>
      <c r="G219" t="s">
        <v>1684</v>
      </c>
      <c r="H219" t="s">
        <v>1096</v>
      </c>
    </row>
    <row r="220" spans="1:8" x14ac:dyDescent="0.25">
      <c r="A220" s="23" t="s">
        <v>1071</v>
      </c>
      <c r="B220" t="s">
        <v>1201</v>
      </c>
      <c r="C220" s="6" t="s">
        <v>1691</v>
      </c>
      <c r="E220" s="23" t="s">
        <v>667</v>
      </c>
      <c r="F220" t="s">
        <v>23</v>
      </c>
      <c r="G220" t="s">
        <v>1692</v>
      </c>
    </row>
    <row r="221" spans="1:8" x14ac:dyDescent="0.25">
      <c r="A221" s="23" t="s">
        <v>974</v>
      </c>
      <c r="E221" s="23" t="s">
        <v>631</v>
      </c>
      <c r="H221" t="s">
        <v>1097</v>
      </c>
    </row>
    <row r="222" spans="1:8" x14ac:dyDescent="0.25">
      <c r="A222" s="23" t="s">
        <v>1082</v>
      </c>
      <c r="B222" t="s">
        <v>1201</v>
      </c>
      <c r="C222" s="6" t="s">
        <v>1693</v>
      </c>
      <c r="E222" s="23" t="s">
        <v>916</v>
      </c>
      <c r="F222" t="s">
        <v>90</v>
      </c>
      <c r="G222" t="s">
        <v>1693</v>
      </c>
    </row>
    <row r="223" spans="1:8" x14ac:dyDescent="0.25">
      <c r="A223" s="23" t="s">
        <v>393</v>
      </c>
      <c r="E223" s="23" t="s">
        <v>917</v>
      </c>
    </row>
    <row r="224" spans="1:8" x14ac:dyDescent="0.25">
      <c r="A224" s="23" t="s">
        <v>1006</v>
      </c>
      <c r="B224" t="s">
        <v>1201</v>
      </c>
      <c r="C224" s="6" t="s">
        <v>1302</v>
      </c>
      <c r="E224" s="23" t="s">
        <v>703</v>
      </c>
      <c r="F224" t="s">
        <v>72</v>
      </c>
      <c r="G224" t="s">
        <v>1685</v>
      </c>
    </row>
    <row r="225" spans="1:8" x14ac:dyDescent="0.25">
      <c r="A225" s="23" t="s">
        <v>975</v>
      </c>
      <c r="B225" t="s">
        <v>1201</v>
      </c>
      <c r="C225" s="6" t="s">
        <v>1303</v>
      </c>
      <c r="E225" s="23" t="s">
        <v>632</v>
      </c>
      <c r="F225" t="s">
        <v>62</v>
      </c>
      <c r="G225" t="s">
        <v>1686</v>
      </c>
      <c r="H225" t="s">
        <v>1098</v>
      </c>
    </row>
    <row r="226" spans="1:8" x14ac:dyDescent="0.25">
      <c r="A226" s="23" t="s">
        <v>998</v>
      </c>
      <c r="B226" t="s">
        <v>1201</v>
      </c>
      <c r="C226" s="6" t="s">
        <v>1653</v>
      </c>
      <c r="E226" s="23" t="s">
        <v>673</v>
      </c>
      <c r="F226" t="s">
        <v>89</v>
      </c>
      <c r="G226" s="6" t="s">
        <v>1750</v>
      </c>
    </row>
    <row r="227" spans="1:8" x14ac:dyDescent="0.25">
      <c r="A227" s="23" t="s">
        <v>976</v>
      </c>
      <c r="B227" t="s">
        <v>1201</v>
      </c>
      <c r="C227" s="6" t="s">
        <v>1293</v>
      </c>
      <c r="E227" s="23" t="s">
        <v>633</v>
      </c>
      <c r="F227" t="s">
        <v>56</v>
      </c>
      <c r="G227" t="s">
        <v>1687</v>
      </c>
      <c r="H227" t="s">
        <v>1099</v>
      </c>
    </row>
    <row r="228" spans="1:8" x14ac:dyDescent="0.25">
      <c r="A228" s="23" t="s">
        <v>1002</v>
      </c>
      <c r="B228" t="s">
        <v>1201</v>
      </c>
      <c r="C228" s="6" t="s">
        <v>1304</v>
      </c>
      <c r="E228" s="23" t="s">
        <v>688</v>
      </c>
      <c r="F228" t="s">
        <v>70</v>
      </c>
      <c r="G228" t="s">
        <v>1688</v>
      </c>
    </row>
    <row r="229" spans="1:8" x14ac:dyDescent="0.25">
      <c r="A229" s="23" t="s">
        <v>574</v>
      </c>
      <c r="B229" t="s">
        <v>1201</v>
      </c>
      <c r="C229" s="6" t="s">
        <v>1316</v>
      </c>
      <c r="E229" s="23" t="s">
        <v>742</v>
      </c>
      <c r="F229" t="s">
        <v>163</v>
      </c>
    </row>
    <row r="230" spans="1:8" x14ac:dyDescent="0.25">
      <c r="A230" s="23" t="s">
        <v>575</v>
      </c>
      <c r="E230" s="23" t="s">
        <v>743</v>
      </c>
    </row>
    <row r="231" spans="1:8" x14ac:dyDescent="0.25">
      <c r="A231" s="23" t="s">
        <v>977</v>
      </c>
      <c r="B231" t="s">
        <v>1201</v>
      </c>
      <c r="C231" s="6" t="s">
        <v>1701</v>
      </c>
      <c r="E231" s="23" t="s">
        <v>634</v>
      </c>
      <c r="F231" t="s">
        <v>87</v>
      </c>
      <c r="G231" s="6" t="s">
        <v>1751</v>
      </c>
      <c r="H231" t="s">
        <v>1100</v>
      </c>
    </row>
    <row r="232" spans="1:8" x14ac:dyDescent="0.25">
      <c r="A232" s="23" t="s">
        <v>1053</v>
      </c>
      <c r="E232" s="23" t="s">
        <v>839</v>
      </c>
    </row>
    <row r="233" spans="1:8" x14ac:dyDescent="0.25">
      <c r="A233" s="23" t="s">
        <v>476</v>
      </c>
      <c r="E233" s="23" t="s">
        <v>672</v>
      </c>
    </row>
    <row r="234" spans="1:8" x14ac:dyDescent="0.25">
      <c r="A234" s="23" t="s">
        <v>1017</v>
      </c>
      <c r="B234" t="s">
        <v>1201</v>
      </c>
      <c r="C234" s="6" t="s">
        <v>1308</v>
      </c>
      <c r="E234" s="23" t="s">
        <v>721</v>
      </c>
      <c r="F234" t="s">
        <v>83</v>
      </c>
      <c r="G234" t="s">
        <v>1689</v>
      </c>
    </row>
    <row r="235" spans="1:8" x14ac:dyDescent="0.25">
      <c r="A235" s="23" t="s">
        <v>611</v>
      </c>
      <c r="B235" t="s">
        <v>1201</v>
      </c>
      <c r="C235" s="6" t="s">
        <v>1294</v>
      </c>
      <c r="E235" s="23" t="s">
        <v>635</v>
      </c>
      <c r="F235" t="s">
        <v>60</v>
      </c>
      <c r="G235" t="s">
        <v>1690</v>
      </c>
      <c r="H235" t="s">
        <v>1101</v>
      </c>
    </row>
    <row r="236" spans="1:8" x14ac:dyDescent="0.25">
      <c r="A236" s="23" t="s">
        <v>980</v>
      </c>
      <c r="B236" t="s">
        <v>1201</v>
      </c>
      <c r="C236" s="6" t="s">
        <v>1305</v>
      </c>
      <c r="E236" s="23" t="s">
        <v>638</v>
      </c>
      <c r="F236" t="s">
        <v>111</v>
      </c>
      <c r="G236" t="s">
        <v>1694</v>
      </c>
      <c r="H236" t="s">
        <v>1104</v>
      </c>
    </row>
    <row r="237" spans="1:8" x14ac:dyDescent="0.25">
      <c r="A237" s="23" t="s">
        <v>1088</v>
      </c>
      <c r="B237" t="s">
        <v>1201</v>
      </c>
      <c r="C237" s="6" t="s">
        <v>1306</v>
      </c>
      <c r="E237" s="23" t="s">
        <v>931</v>
      </c>
      <c r="F237" t="s">
        <v>1327</v>
      </c>
      <c r="G237" t="s">
        <v>1695</v>
      </c>
      <c r="H237" t="s">
        <v>1657</v>
      </c>
    </row>
    <row r="238" spans="1:8" x14ac:dyDescent="0.25">
      <c r="A238" s="23" t="s">
        <v>1074</v>
      </c>
      <c r="E238" s="23" t="s">
        <v>905</v>
      </c>
    </row>
    <row r="239" spans="1:8" x14ac:dyDescent="0.25">
      <c r="A239" s="23" t="s">
        <v>612</v>
      </c>
      <c r="B239" t="s">
        <v>1201</v>
      </c>
      <c r="C239" s="6" t="s">
        <v>1296</v>
      </c>
      <c r="E239" s="23" t="s">
        <v>718</v>
      </c>
      <c r="F239" t="s">
        <v>42</v>
      </c>
      <c r="G239" s="6" t="s">
        <v>1752</v>
      </c>
    </row>
    <row r="240" spans="1:8" x14ac:dyDescent="0.25">
      <c r="A240" s="23" t="s">
        <v>1072</v>
      </c>
      <c r="E240" s="23" t="s">
        <v>903</v>
      </c>
    </row>
    <row r="241" spans="1:8" x14ac:dyDescent="0.25">
      <c r="A241" s="23" t="s">
        <v>981</v>
      </c>
      <c r="B241" t="s">
        <v>1201</v>
      </c>
      <c r="C241" s="6" t="s">
        <v>1307</v>
      </c>
      <c r="E241" s="23" t="s">
        <v>639</v>
      </c>
      <c r="F241" t="s">
        <v>38</v>
      </c>
      <c r="G241" t="s">
        <v>1696</v>
      </c>
      <c r="H241" t="s">
        <v>1105</v>
      </c>
    </row>
    <row r="242" spans="1:8" x14ac:dyDescent="0.25">
      <c r="A242" s="23" t="s">
        <v>1073</v>
      </c>
      <c r="B242" t="s">
        <v>1201</v>
      </c>
      <c r="C242" s="6" t="s">
        <v>1754</v>
      </c>
      <c r="E242" s="23" t="s">
        <v>904</v>
      </c>
      <c r="F242" t="s">
        <v>1322</v>
      </c>
      <c r="G242" s="6" t="s">
        <v>1754</v>
      </c>
    </row>
    <row r="243" spans="1:8" x14ac:dyDescent="0.25">
      <c r="A243" s="23" t="s">
        <v>1075</v>
      </c>
      <c r="B243" t="s">
        <v>1201</v>
      </c>
      <c r="C243" s="6" t="s">
        <v>1753</v>
      </c>
      <c r="E243" s="23" t="s">
        <v>906</v>
      </c>
      <c r="F243" t="s">
        <v>1325</v>
      </c>
      <c r="G243" s="6" t="s">
        <v>1753</v>
      </c>
    </row>
    <row r="244" spans="1:8" x14ac:dyDescent="0.25">
      <c r="A244" s="23" t="s">
        <v>1018</v>
      </c>
      <c r="E244" s="23" t="s">
        <v>722</v>
      </c>
      <c r="H244" t="s">
        <v>1128</v>
      </c>
    </row>
    <row r="245" spans="1:8" x14ac:dyDescent="0.25">
      <c r="A245" s="23" t="s">
        <v>489</v>
      </c>
      <c r="B245" t="s">
        <v>1201</v>
      </c>
      <c r="C245" s="6" t="s">
        <v>1231</v>
      </c>
      <c r="E245" s="23" t="s">
        <v>852</v>
      </c>
      <c r="F245" t="s">
        <v>1535</v>
      </c>
    </row>
    <row r="246" spans="1:8" x14ac:dyDescent="0.25">
      <c r="B246" s="5" t="s">
        <v>1201</v>
      </c>
      <c r="C246" s="5" t="s">
        <v>1836</v>
      </c>
      <c r="D246" s="5"/>
      <c r="E246" s="32"/>
      <c r="F246" s="5" t="s">
        <v>1837</v>
      </c>
      <c r="G246" s="5"/>
      <c r="H246" s="5"/>
    </row>
    <row r="247" spans="1:8" x14ac:dyDescent="0.25">
      <c r="A247" s="23" t="s">
        <v>556</v>
      </c>
      <c r="E247" s="23" t="s">
        <v>711</v>
      </c>
    </row>
    <row r="248" spans="1:8" x14ac:dyDescent="0.25">
      <c r="A248" s="23" t="s">
        <v>557</v>
      </c>
      <c r="E248" s="23" t="s">
        <v>712</v>
      </c>
    </row>
    <row r="249" spans="1:8" x14ac:dyDescent="0.25">
      <c r="A249" s="23" t="s">
        <v>1029</v>
      </c>
      <c r="B249" t="s">
        <v>1201</v>
      </c>
      <c r="C249" s="6" t="s">
        <v>1395</v>
      </c>
      <c r="E249" s="23" t="s">
        <v>763</v>
      </c>
      <c r="F249" t="s">
        <v>45</v>
      </c>
      <c r="H249" t="s">
        <v>1143</v>
      </c>
    </row>
    <row r="250" spans="1:8" x14ac:dyDescent="0.25">
      <c r="A250" s="23" t="s">
        <v>1057</v>
      </c>
      <c r="E250" s="23" t="s">
        <v>847</v>
      </c>
    </row>
    <row r="251" spans="1:8" x14ac:dyDescent="0.25">
      <c r="A251" s="23" t="s">
        <v>993</v>
      </c>
      <c r="E251" s="23" t="s">
        <v>660</v>
      </c>
      <c r="H251" t="s">
        <v>1126</v>
      </c>
    </row>
    <row r="252" spans="1:8" x14ac:dyDescent="0.25">
      <c r="A252" s="23" t="s">
        <v>538</v>
      </c>
      <c r="B252" t="s">
        <v>1201</v>
      </c>
      <c r="C252" s="6" t="s">
        <v>1246</v>
      </c>
      <c r="E252" s="23" t="s">
        <v>954</v>
      </c>
      <c r="F252" t="s">
        <v>1536</v>
      </c>
    </row>
    <row r="253" spans="1:8" x14ac:dyDescent="0.25">
      <c r="A253" s="23" t="s">
        <v>539</v>
      </c>
      <c r="B253" t="s">
        <v>1201</v>
      </c>
      <c r="C253" s="6" t="s">
        <v>1245</v>
      </c>
      <c r="E253" s="23" t="s">
        <v>955</v>
      </c>
      <c r="F253" t="s">
        <v>1537</v>
      </c>
    </row>
    <row r="254" spans="1:8" x14ac:dyDescent="0.25">
      <c r="A254" s="23" t="s">
        <v>469</v>
      </c>
      <c r="B254" t="s">
        <v>1201</v>
      </c>
      <c r="C254" s="6" t="s">
        <v>1226</v>
      </c>
      <c r="E254" s="23" t="s">
        <v>833</v>
      </c>
      <c r="F254" t="s">
        <v>1538</v>
      </c>
    </row>
    <row r="255" spans="1:8" x14ac:dyDescent="0.25">
      <c r="A255" s="23" t="s">
        <v>470</v>
      </c>
      <c r="B255" t="s">
        <v>1201</v>
      </c>
      <c r="C255" s="6" t="s">
        <v>1227</v>
      </c>
      <c r="E255" s="23" t="s">
        <v>834</v>
      </c>
      <c r="F255" t="s">
        <v>1539</v>
      </c>
    </row>
    <row r="256" spans="1:8" x14ac:dyDescent="0.25">
      <c r="A256" s="23" t="s">
        <v>546</v>
      </c>
      <c r="B256" t="s">
        <v>1201</v>
      </c>
      <c r="C256" s="6" t="s">
        <v>1860</v>
      </c>
      <c r="E256" s="23" t="s">
        <v>663</v>
      </c>
      <c r="F256" t="s">
        <v>1581</v>
      </c>
    </row>
    <row r="257" spans="1:8" x14ac:dyDescent="0.25">
      <c r="A257" s="23" t="s">
        <v>547</v>
      </c>
      <c r="B257" t="s">
        <v>1201</v>
      </c>
      <c r="C257" s="6" t="s">
        <v>1861</v>
      </c>
      <c r="E257" s="23" t="s">
        <v>689</v>
      </c>
      <c r="F257" t="s">
        <v>1582</v>
      </c>
    </row>
    <row r="258" spans="1:8" x14ac:dyDescent="0.25">
      <c r="A258" s="23" t="s">
        <v>382</v>
      </c>
      <c r="B258" t="s">
        <v>1201</v>
      </c>
      <c r="C258" s="6" t="s">
        <v>1374</v>
      </c>
      <c r="E258" s="23" t="s">
        <v>789</v>
      </c>
      <c r="F258" t="s">
        <v>1540</v>
      </c>
    </row>
    <row r="259" spans="1:8" x14ac:dyDescent="0.25">
      <c r="A259" s="23" t="s">
        <v>384</v>
      </c>
      <c r="B259" t="s">
        <v>1201</v>
      </c>
      <c r="C259" s="6" t="s">
        <v>1373</v>
      </c>
      <c r="E259" s="23" t="s">
        <v>790</v>
      </c>
      <c r="F259" t="s">
        <v>1541</v>
      </c>
    </row>
    <row r="260" spans="1:8" x14ac:dyDescent="0.25">
      <c r="A260" s="23" t="s">
        <v>383</v>
      </c>
      <c r="B260" t="s">
        <v>1201</v>
      </c>
      <c r="C260" s="6" t="s">
        <v>1372</v>
      </c>
      <c r="E260" s="23" t="s">
        <v>791</v>
      </c>
      <c r="F260" t="s">
        <v>1542</v>
      </c>
    </row>
    <row r="261" spans="1:8" x14ac:dyDescent="0.25">
      <c r="A261" s="23" t="s">
        <v>385</v>
      </c>
      <c r="B261" t="s">
        <v>1201</v>
      </c>
      <c r="C261" s="6" t="s">
        <v>1371</v>
      </c>
      <c r="E261" s="23" t="s">
        <v>796</v>
      </c>
      <c r="F261" t="s">
        <v>1543</v>
      </c>
    </row>
    <row r="262" spans="1:8" x14ac:dyDescent="0.25">
      <c r="A262" s="32" t="s">
        <v>1042</v>
      </c>
      <c r="B262" s="5" t="s">
        <v>1201</v>
      </c>
      <c r="C262" s="5" t="s">
        <v>1830</v>
      </c>
      <c r="D262" s="5"/>
      <c r="E262" s="53" t="s">
        <v>797</v>
      </c>
      <c r="F262" s="5" t="s">
        <v>1831</v>
      </c>
      <c r="H262" s="5"/>
    </row>
    <row r="263" spans="1:8" x14ac:dyDescent="0.25">
      <c r="A263" s="23" t="s">
        <v>1024</v>
      </c>
      <c r="E263" s="23" t="s">
        <v>748</v>
      </c>
      <c r="H263" t="s">
        <v>1134</v>
      </c>
    </row>
    <row r="264" spans="1:8" x14ac:dyDescent="0.25">
      <c r="A264" s="23" t="s">
        <v>536</v>
      </c>
      <c r="E264" s="23" t="s">
        <v>952</v>
      </c>
    </row>
    <row r="265" spans="1:8" x14ac:dyDescent="0.25">
      <c r="A265" s="23" t="s">
        <v>1005</v>
      </c>
      <c r="E265" s="23" t="s">
        <v>702</v>
      </c>
    </row>
    <row r="266" spans="1:8" x14ac:dyDescent="0.25">
      <c r="A266" s="23" t="s">
        <v>540</v>
      </c>
      <c r="B266" t="s">
        <v>1201</v>
      </c>
      <c r="C266" s="6" t="s">
        <v>1247</v>
      </c>
      <c r="E266" s="23" t="s">
        <v>961</v>
      </c>
      <c r="F266" t="s">
        <v>1544</v>
      </c>
      <c r="H266" t="s">
        <v>1149</v>
      </c>
    </row>
    <row r="267" spans="1:8" x14ac:dyDescent="0.25">
      <c r="A267" s="23" t="s">
        <v>515</v>
      </c>
      <c r="B267" t="s">
        <v>1201</v>
      </c>
      <c r="C267" s="6" t="s">
        <v>1193</v>
      </c>
      <c r="E267" s="23" t="s">
        <v>943</v>
      </c>
      <c r="F267" t="s">
        <v>1545</v>
      </c>
    </row>
    <row r="268" spans="1:8" x14ac:dyDescent="0.25">
      <c r="A268" s="23" t="s">
        <v>516</v>
      </c>
      <c r="B268" t="s">
        <v>1201</v>
      </c>
      <c r="C268" s="6" t="s">
        <v>1194</v>
      </c>
      <c r="E268" s="23" t="s">
        <v>944</v>
      </c>
      <c r="F268" t="s">
        <v>1546</v>
      </c>
    </row>
    <row r="269" spans="1:8" x14ac:dyDescent="0.25">
      <c r="A269" s="23" t="s">
        <v>517</v>
      </c>
      <c r="B269" t="s">
        <v>1201</v>
      </c>
      <c r="C269" s="6" t="s">
        <v>1195</v>
      </c>
      <c r="E269" s="23" t="s">
        <v>945</v>
      </c>
      <c r="F269" t="s">
        <v>1547</v>
      </c>
    </row>
    <row r="270" spans="1:8" x14ac:dyDescent="0.25">
      <c r="A270" s="23" t="s">
        <v>518</v>
      </c>
      <c r="B270" t="s">
        <v>1201</v>
      </c>
      <c r="C270" s="6" t="s">
        <v>1196</v>
      </c>
      <c r="E270" s="23" t="s">
        <v>946</v>
      </c>
      <c r="F270" t="s">
        <v>1548</v>
      </c>
    </row>
    <row r="271" spans="1:8" x14ac:dyDescent="0.25">
      <c r="A271" s="23" t="s">
        <v>519</v>
      </c>
      <c r="B271" t="s">
        <v>1201</v>
      </c>
      <c r="C271" s="6" t="s">
        <v>1197</v>
      </c>
      <c r="E271" s="23" t="s">
        <v>947</v>
      </c>
      <c r="F271" t="s">
        <v>1549</v>
      </c>
    </row>
    <row r="272" spans="1:8" x14ac:dyDescent="0.25">
      <c r="A272" s="23" t="s">
        <v>520</v>
      </c>
      <c r="B272" t="s">
        <v>1201</v>
      </c>
      <c r="C272" s="6" t="s">
        <v>1198</v>
      </c>
      <c r="E272" s="23" t="s">
        <v>948</v>
      </c>
      <c r="F272" t="s">
        <v>1550</v>
      </c>
    </row>
    <row r="273" spans="1:8" x14ac:dyDescent="0.25">
      <c r="A273" s="23" t="s">
        <v>521</v>
      </c>
      <c r="B273" t="s">
        <v>1201</v>
      </c>
      <c r="C273" s="6" t="s">
        <v>1199</v>
      </c>
      <c r="E273" s="23" t="s">
        <v>949</v>
      </c>
      <c r="F273" t="s">
        <v>1551</v>
      </c>
    </row>
    <row r="274" spans="1:8" x14ac:dyDescent="0.25">
      <c r="A274" s="23" t="s">
        <v>522</v>
      </c>
      <c r="B274" t="s">
        <v>1201</v>
      </c>
      <c r="C274" s="6" t="s">
        <v>1200</v>
      </c>
      <c r="E274" s="23" t="s">
        <v>950</v>
      </c>
      <c r="F274" t="s">
        <v>1552</v>
      </c>
    </row>
    <row r="275" spans="1:8" x14ac:dyDescent="0.25">
      <c r="A275" s="23" t="s">
        <v>1090</v>
      </c>
      <c r="E275" s="23" t="s">
        <v>941</v>
      </c>
    </row>
    <row r="276" spans="1:8" x14ac:dyDescent="0.25">
      <c r="A276" s="23" t="s">
        <v>1085</v>
      </c>
      <c r="E276" s="23" t="s">
        <v>920</v>
      </c>
      <c r="H276" t="s">
        <v>1148</v>
      </c>
    </row>
    <row r="277" spans="1:8" x14ac:dyDescent="0.25">
      <c r="A277" s="23" t="s">
        <v>548</v>
      </c>
      <c r="B277" t="s">
        <v>1201</v>
      </c>
      <c r="C277" s="5" t="s">
        <v>1862</v>
      </c>
      <c r="E277" s="23" t="s">
        <v>662</v>
      </c>
      <c r="F277" t="s">
        <v>99</v>
      </c>
    </row>
    <row r="278" spans="1:8" x14ac:dyDescent="0.25">
      <c r="B278" t="s">
        <v>1201</v>
      </c>
      <c r="C278" s="5" t="s">
        <v>1863</v>
      </c>
      <c r="F278" s="5" t="s">
        <v>1864</v>
      </c>
    </row>
    <row r="279" spans="1:8" x14ac:dyDescent="0.25">
      <c r="A279" s="23" t="s">
        <v>1010</v>
      </c>
      <c r="E279" s="23" t="s">
        <v>709</v>
      </c>
    </row>
    <row r="280" spans="1:8" x14ac:dyDescent="0.25">
      <c r="A280" s="23" t="s">
        <v>586</v>
      </c>
      <c r="B280" t="s">
        <v>1201</v>
      </c>
      <c r="C280" s="6" t="s">
        <v>1606</v>
      </c>
      <c r="E280" s="23" t="s">
        <v>849</v>
      </c>
      <c r="F280" t="s">
        <v>1608</v>
      </c>
    </row>
    <row r="281" spans="1:8" x14ac:dyDescent="0.25">
      <c r="A281" s="23" t="s">
        <v>587</v>
      </c>
      <c r="B281" t="s">
        <v>1201</v>
      </c>
      <c r="C281" s="6" t="s">
        <v>1607</v>
      </c>
      <c r="E281" s="23" t="s">
        <v>774</v>
      </c>
      <c r="F281" t="s">
        <v>1609</v>
      </c>
    </row>
    <row r="282" spans="1:8" x14ac:dyDescent="0.25">
      <c r="A282" s="23" t="s">
        <v>1049</v>
      </c>
      <c r="B282" t="s">
        <v>1201</v>
      </c>
      <c r="C282" s="6" t="s">
        <v>1697</v>
      </c>
      <c r="E282" s="23" t="s">
        <v>828</v>
      </c>
      <c r="F282" t="s">
        <v>105</v>
      </c>
    </row>
    <row r="283" spans="1:8" x14ac:dyDescent="0.25">
      <c r="A283" s="23" t="s">
        <v>615</v>
      </c>
      <c r="B283" t="s">
        <v>1201</v>
      </c>
      <c r="C283" s="6" t="s">
        <v>1624</v>
      </c>
      <c r="E283" s="23" t="s">
        <v>934</v>
      </c>
      <c r="F283" t="s">
        <v>1626</v>
      </c>
    </row>
    <row r="284" spans="1:8" x14ac:dyDescent="0.25">
      <c r="A284" s="23" t="s">
        <v>616</v>
      </c>
      <c r="B284" t="s">
        <v>1201</v>
      </c>
      <c r="C284" s="6" t="s">
        <v>1625</v>
      </c>
      <c r="E284" s="23" t="s">
        <v>935</v>
      </c>
      <c r="F284" t="s">
        <v>1627</v>
      </c>
    </row>
    <row r="285" spans="1:8" x14ac:dyDescent="0.25">
      <c r="A285" s="23" t="s">
        <v>496</v>
      </c>
      <c r="B285" t="s">
        <v>1201</v>
      </c>
      <c r="C285" s="6" t="s">
        <v>1208</v>
      </c>
      <c r="E285" s="23" t="s">
        <v>758</v>
      </c>
      <c r="F285" t="s">
        <v>1843</v>
      </c>
    </row>
    <row r="286" spans="1:8" x14ac:dyDescent="0.25">
      <c r="A286" s="23" t="s">
        <v>497</v>
      </c>
      <c r="B286" t="s">
        <v>1201</v>
      </c>
      <c r="C286" s="6" t="s">
        <v>1209</v>
      </c>
      <c r="E286" s="23" t="s">
        <v>759</v>
      </c>
      <c r="F286" t="s">
        <v>1844</v>
      </c>
    </row>
    <row r="287" spans="1:8" x14ac:dyDescent="0.25">
      <c r="A287" s="23" t="s">
        <v>474</v>
      </c>
      <c r="B287" t="s">
        <v>1201</v>
      </c>
      <c r="C287" s="6" t="s">
        <v>1229</v>
      </c>
      <c r="E287" s="23" t="s">
        <v>851</v>
      </c>
      <c r="F287" t="s">
        <v>1553</v>
      </c>
    </row>
    <row r="288" spans="1:8" x14ac:dyDescent="0.25">
      <c r="A288" s="23" t="s">
        <v>592</v>
      </c>
      <c r="B288" t="s">
        <v>1201</v>
      </c>
      <c r="C288" s="6" t="s">
        <v>1162</v>
      </c>
      <c r="E288" s="23" t="s">
        <v>726</v>
      </c>
      <c r="F288" t="s">
        <v>1554</v>
      </c>
      <c r="H288" t="s">
        <v>1129</v>
      </c>
    </row>
    <row r="289" spans="1:6" x14ac:dyDescent="0.25">
      <c r="A289" s="23" t="s">
        <v>593</v>
      </c>
      <c r="B289" t="s">
        <v>1201</v>
      </c>
      <c r="C289" s="6" t="s">
        <v>1163</v>
      </c>
      <c r="E289" s="23" t="s">
        <v>727</v>
      </c>
      <c r="F289" t="s">
        <v>1555</v>
      </c>
    </row>
    <row r="290" spans="1:6" x14ac:dyDescent="0.25">
      <c r="A290" s="23" t="s">
        <v>523</v>
      </c>
      <c r="B290" t="s">
        <v>1201</v>
      </c>
      <c r="C290" s="6" t="s">
        <v>1189</v>
      </c>
      <c r="E290" s="23" t="s">
        <v>792</v>
      </c>
      <c r="F290" t="s">
        <v>1556</v>
      </c>
    </row>
    <row r="291" spans="1:6" x14ac:dyDescent="0.25">
      <c r="A291" s="23" t="s">
        <v>524</v>
      </c>
      <c r="B291" t="s">
        <v>1201</v>
      </c>
      <c r="C291" s="6" t="s">
        <v>1190</v>
      </c>
      <c r="E291" s="23" t="s">
        <v>793</v>
      </c>
      <c r="F291" t="s">
        <v>1557</v>
      </c>
    </row>
    <row r="292" spans="1:6" x14ac:dyDescent="0.25">
      <c r="A292" s="23" t="s">
        <v>525</v>
      </c>
      <c r="B292" t="s">
        <v>1201</v>
      </c>
      <c r="C292" s="6" t="s">
        <v>1191</v>
      </c>
      <c r="E292" s="23" t="s">
        <v>794</v>
      </c>
      <c r="F292" t="s">
        <v>1558</v>
      </c>
    </row>
    <row r="293" spans="1:6" x14ac:dyDescent="0.25">
      <c r="A293" s="23" t="s">
        <v>526</v>
      </c>
      <c r="B293" t="s">
        <v>1201</v>
      </c>
      <c r="C293" s="6" t="s">
        <v>1192</v>
      </c>
      <c r="E293" s="23" t="s">
        <v>795</v>
      </c>
      <c r="F293" t="s">
        <v>1559</v>
      </c>
    </row>
    <row r="294" spans="1:6" x14ac:dyDescent="0.25">
      <c r="A294" s="23" t="s">
        <v>537</v>
      </c>
      <c r="B294" t="s">
        <v>1201</v>
      </c>
      <c r="C294" s="6" t="s">
        <v>1202</v>
      </c>
      <c r="E294" s="23" t="s">
        <v>953</v>
      </c>
      <c r="F294" t="s">
        <v>1560</v>
      </c>
    </row>
    <row r="295" spans="1:6" x14ac:dyDescent="0.25">
      <c r="A295" s="23" t="s">
        <v>498</v>
      </c>
      <c r="B295" t="s">
        <v>1201</v>
      </c>
      <c r="C295" s="6" t="s">
        <v>1212</v>
      </c>
      <c r="E295" s="23" t="s">
        <v>732</v>
      </c>
      <c r="F295" t="s">
        <v>1561</v>
      </c>
    </row>
    <row r="296" spans="1:6" x14ac:dyDescent="0.25">
      <c r="A296" s="23" t="s">
        <v>499</v>
      </c>
      <c r="B296" t="s">
        <v>1201</v>
      </c>
      <c r="C296" s="6" t="s">
        <v>1213</v>
      </c>
      <c r="E296" s="23" t="s">
        <v>733</v>
      </c>
      <c r="F296" t="s">
        <v>1562</v>
      </c>
    </row>
    <row r="297" spans="1:6" x14ac:dyDescent="0.25">
      <c r="A297" s="23" t="s">
        <v>500</v>
      </c>
      <c r="B297" t="s">
        <v>1201</v>
      </c>
      <c r="C297" s="6" t="s">
        <v>1214</v>
      </c>
      <c r="E297" s="23" t="s">
        <v>734</v>
      </c>
      <c r="F297" t="s">
        <v>1563</v>
      </c>
    </row>
    <row r="298" spans="1:6" x14ac:dyDescent="0.25">
      <c r="A298" s="23" t="s">
        <v>501</v>
      </c>
      <c r="B298" t="s">
        <v>1201</v>
      </c>
      <c r="C298" s="6" t="s">
        <v>1215</v>
      </c>
      <c r="E298" s="23" t="s">
        <v>735</v>
      </c>
      <c r="F298" t="s">
        <v>1564</v>
      </c>
    </row>
    <row r="299" spans="1:6" x14ac:dyDescent="0.25">
      <c r="A299" s="23" t="s">
        <v>502</v>
      </c>
      <c r="B299" t="s">
        <v>1201</v>
      </c>
      <c r="C299" s="6" t="s">
        <v>1216</v>
      </c>
      <c r="E299" s="23" t="s">
        <v>736</v>
      </c>
      <c r="F299" t="s">
        <v>1565</v>
      </c>
    </row>
    <row r="300" spans="1:6" x14ac:dyDescent="0.25">
      <c r="A300" s="23" t="s">
        <v>503</v>
      </c>
      <c r="B300" t="s">
        <v>1201</v>
      </c>
      <c r="C300" s="6" t="s">
        <v>1217</v>
      </c>
      <c r="E300" s="23" t="s">
        <v>807</v>
      </c>
      <c r="F300" t="s">
        <v>1566</v>
      </c>
    </row>
    <row r="301" spans="1:6" x14ac:dyDescent="0.25">
      <c r="A301" s="23" t="s">
        <v>504</v>
      </c>
      <c r="B301" t="s">
        <v>1201</v>
      </c>
      <c r="C301" s="6" t="s">
        <v>1218</v>
      </c>
      <c r="E301" s="23" t="s">
        <v>808</v>
      </c>
      <c r="F301" t="s">
        <v>1567</v>
      </c>
    </row>
    <row r="302" spans="1:6" x14ac:dyDescent="0.25">
      <c r="A302" s="23" t="s">
        <v>505</v>
      </c>
      <c r="B302" t="s">
        <v>1201</v>
      </c>
      <c r="C302" s="6" t="s">
        <v>1219</v>
      </c>
      <c r="E302" s="23" t="s">
        <v>809</v>
      </c>
      <c r="F302" t="s">
        <v>1568</v>
      </c>
    </row>
    <row r="303" spans="1:6" x14ac:dyDescent="0.25">
      <c r="A303" s="23" t="s">
        <v>510</v>
      </c>
      <c r="B303" t="s">
        <v>1201</v>
      </c>
      <c r="C303" s="6" t="s">
        <v>1220</v>
      </c>
      <c r="E303" s="23" t="s">
        <v>810</v>
      </c>
      <c r="F303" t="s">
        <v>1569</v>
      </c>
    </row>
    <row r="304" spans="1:6" x14ac:dyDescent="0.25">
      <c r="A304" s="23" t="s">
        <v>506</v>
      </c>
      <c r="B304" t="s">
        <v>1201</v>
      </c>
      <c r="C304" s="6" t="s">
        <v>1211</v>
      </c>
      <c r="E304" s="23" t="s">
        <v>811</v>
      </c>
      <c r="F304" t="s">
        <v>1570</v>
      </c>
    </row>
    <row r="305" spans="1:8" x14ac:dyDescent="0.25">
      <c r="A305" s="23" t="s">
        <v>507</v>
      </c>
      <c r="B305" t="s">
        <v>1201</v>
      </c>
      <c r="C305" s="6" t="s">
        <v>1221</v>
      </c>
      <c r="E305" s="23" t="s">
        <v>812</v>
      </c>
      <c r="F305" t="s">
        <v>1571</v>
      </c>
    </row>
    <row r="306" spans="1:8" x14ac:dyDescent="0.25">
      <c r="A306" s="23" t="s">
        <v>508</v>
      </c>
      <c r="B306" t="s">
        <v>1201</v>
      </c>
      <c r="C306" s="6" t="s">
        <v>1222</v>
      </c>
      <c r="E306" s="23" t="s">
        <v>813</v>
      </c>
      <c r="F306" t="s">
        <v>1572</v>
      </c>
    </row>
    <row r="307" spans="1:8" x14ac:dyDescent="0.25">
      <c r="A307" s="23" t="s">
        <v>509</v>
      </c>
      <c r="B307" t="s">
        <v>1201</v>
      </c>
      <c r="C307" s="6" t="s">
        <v>1223</v>
      </c>
      <c r="E307" s="23" t="s">
        <v>807</v>
      </c>
      <c r="F307" t="s">
        <v>1566</v>
      </c>
    </row>
    <row r="308" spans="1:8" x14ac:dyDescent="0.25">
      <c r="A308" s="23" t="s">
        <v>996</v>
      </c>
      <c r="E308" s="23" t="s">
        <v>667</v>
      </c>
    </row>
    <row r="309" spans="1:8" x14ac:dyDescent="0.25">
      <c r="A309" s="23" t="s">
        <v>471</v>
      </c>
      <c r="B309" t="s">
        <v>1201</v>
      </c>
      <c r="C309" s="6" t="s">
        <v>1842</v>
      </c>
      <c r="E309" s="23" t="s">
        <v>737</v>
      </c>
      <c r="F309" t="s">
        <v>1573</v>
      </c>
    </row>
    <row r="310" spans="1:8" x14ac:dyDescent="0.25">
      <c r="A310" s="23" t="s">
        <v>532</v>
      </c>
      <c r="E310" s="23" t="s">
        <v>737</v>
      </c>
    </row>
    <row r="311" spans="1:8" x14ac:dyDescent="0.25">
      <c r="A311" s="23" t="s">
        <v>994</v>
      </c>
      <c r="E311" s="23" t="s">
        <v>661</v>
      </c>
      <c r="H311" t="s">
        <v>1127</v>
      </c>
    </row>
    <row r="312" spans="1:8" x14ac:dyDescent="0.25">
      <c r="A312" s="23" t="s">
        <v>1004</v>
      </c>
      <c r="E312" s="23" t="s">
        <v>701</v>
      </c>
    </row>
    <row r="313" spans="1:8" x14ac:dyDescent="0.25">
      <c r="A313" s="23" t="s">
        <v>1079</v>
      </c>
      <c r="E313" s="23" t="s">
        <v>912</v>
      </c>
    </row>
    <row r="314" spans="1:8" x14ac:dyDescent="0.25">
      <c r="A314" s="23" t="s">
        <v>1009</v>
      </c>
      <c r="E314" s="23" t="s">
        <v>708</v>
      </c>
    </row>
    <row r="315" spans="1:8" x14ac:dyDescent="0.25">
      <c r="A315" s="23" t="s">
        <v>1054</v>
      </c>
      <c r="E315" s="23" t="s">
        <v>841</v>
      </c>
    </row>
    <row r="316" spans="1:8" x14ac:dyDescent="0.25">
      <c r="A316" s="23" t="s">
        <v>1055</v>
      </c>
      <c r="E316" s="23" t="s">
        <v>842</v>
      </c>
    </row>
    <row r="317" spans="1:8" x14ac:dyDescent="0.25">
      <c r="A317" s="23" t="s">
        <v>1048</v>
      </c>
      <c r="E317" s="23" t="s">
        <v>822</v>
      </c>
    </row>
    <row r="318" spans="1:8" x14ac:dyDescent="0.25">
      <c r="A318" s="23" t="s">
        <v>432</v>
      </c>
      <c r="E318" s="23" t="s">
        <v>773</v>
      </c>
    </row>
    <row r="319" spans="1:8" x14ac:dyDescent="0.25">
      <c r="A319" s="23" t="s">
        <v>430</v>
      </c>
      <c r="E319" s="23" t="s">
        <v>757</v>
      </c>
      <c r="H319" t="s">
        <v>1140</v>
      </c>
    </row>
    <row r="320" spans="1:8" x14ac:dyDescent="0.25">
      <c r="A320" s="23" t="s">
        <v>431</v>
      </c>
      <c r="E320" s="23" t="s">
        <v>762</v>
      </c>
      <c r="H320" t="s">
        <v>1142</v>
      </c>
    </row>
    <row r="321" spans="1:8" x14ac:dyDescent="0.25">
      <c r="A321" s="23" t="s">
        <v>591</v>
      </c>
      <c r="E321" s="23" t="s">
        <v>730</v>
      </c>
      <c r="H321" t="s">
        <v>1130</v>
      </c>
    </row>
    <row r="322" spans="1:8" x14ac:dyDescent="0.25">
      <c r="A322" s="23" t="s">
        <v>589</v>
      </c>
      <c r="E322" s="23" t="s">
        <v>764</v>
      </c>
    </row>
    <row r="323" spans="1:8" x14ac:dyDescent="0.25">
      <c r="A323" s="23" t="s">
        <v>590</v>
      </c>
      <c r="E323" s="23" t="s">
        <v>765</v>
      </c>
    </row>
    <row r="324" spans="1:8" x14ac:dyDescent="0.25">
      <c r="A324" s="23" t="s">
        <v>1037</v>
      </c>
      <c r="E324" s="23" t="s">
        <v>776</v>
      </c>
    </row>
    <row r="325" spans="1:8" x14ac:dyDescent="0.25">
      <c r="A325" s="23" t="s">
        <v>1091</v>
      </c>
      <c r="E325" s="23" t="s">
        <v>956</v>
      </c>
    </row>
    <row r="326" spans="1:8" x14ac:dyDescent="0.25">
      <c r="A326" s="23" t="s">
        <v>1046</v>
      </c>
      <c r="E326" s="23" t="s">
        <v>804</v>
      </c>
    </row>
    <row r="327" spans="1:8" x14ac:dyDescent="0.25">
      <c r="A327" s="23" t="s">
        <v>1020</v>
      </c>
      <c r="E327" s="23" t="s">
        <v>729</v>
      </c>
    </row>
    <row r="328" spans="1:8" x14ac:dyDescent="0.25">
      <c r="A328" s="23" t="s">
        <v>1087</v>
      </c>
      <c r="E328" s="23" t="s">
        <v>928</v>
      </c>
    </row>
    <row r="329" spans="1:8" x14ac:dyDescent="0.25">
      <c r="A329" s="23" t="s">
        <v>1059</v>
      </c>
      <c r="E329" s="23" t="s">
        <v>853</v>
      </c>
    </row>
    <row r="330" spans="1:8" x14ac:dyDescent="0.25">
      <c r="A330" s="23" t="s">
        <v>1056</v>
      </c>
      <c r="E330" s="23" t="s">
        <v>845</v>
      </c>
    </row>
    <row r="331" spans="1:8" x14ac:dyDescent="0.25">
      <c r="A331" s="23" t="s">
        <v>1036</v>
      </c>
      <c r="E331" s="23" t="s">
        <v>775</v>
      </c>
    </row>
    <row r="332" spans="1:8" x14ac:dyDescent="0.25">
      <c r="A332" s="23" t="s">
        <v>1041</v>
      </c>
      <c r="E332" s="23" t="s">
        <v>788</v>
      </c>
    </row>
    <row r="333" spans="1:8" x14ac:dyDescent="0.25">
      <c r="A333" s="23" t="s">
        <v>1052</v>
      </c>
      <c r="E333" s="23" t="s">
        <v>838</v>
      </c>
    </row>
    <row r="334" spans="1:8" x14ac:dyDescent="0.25">
      <c r="A334" s="23" t="s">
        <v>1038</v>
      </c>
      <c r="E334" s="23" t="s">
        <v>785</v>
      </c>
    </row>
    <row r="335" spans="1:8" x14ac:dyDescent="0.25">
      <c r="A335" s="23" t="s">
        <v>1040</v>
      </c>
      <c r="E335" s="23" t="s">
        <v>787</v>
      </c>
    </row>
    <row r="336" spans="1:8" x14ac:dyDescent="0.25">
      <c r="A336" s="23" t="s">
        <v>1061</v>
      </c>
      <c r="E336" s="23" t="s">
        <v>855</v>
      </c>
    </row>
    <row r="337" spans="1:6" x14ac:dyDescent="0.25">
      <c r="A337" s="23" t="s">
        <v>1030</v>
      </c>
      <c r="E337" s="23" t="s">
        <v>767</v>
      </c>
    </row>
    <row r="338" spans="1:6" x14ac:dyDescent="0.25">
      <c r="A338" s="23" t="s">
        <v>1083</v>
      </c>
      <c r="E338" s="23" t="s">
        <v>767</v>
      </c>
    </row>
    <row r="339" spans="1:6" x14ac:dyDescent="0.25">
      <c r="A339" s="23" t="s">
        <v>1031</v>
      </c>
      <c r="E339" s="23" t="s">
        <v>768</v>
      </c>
    </row>
    <row r="340" spans="1:6" x14ac:dyDescent="0.25">
      <c r="A340" s="23" t="s">
        <v>543</v>
      </c>
      <c r="E340" s="23" t="s">
        <v>754</v>
      </c>
    </row>
    <row r="341" spans="1:6" x14ac:dyDescent="0.25">
      <c r="A341" s="23" t="s">
        <v>544</v>
      </c>
      <c r="E341" s="23" t="s">
        <v>766</v>
      </c>
    </row>
    <row r="342" spans="1:6" x14ac:dyDescent="0.25">
      <c r="A342" s="23" t="s">
        <v>380</v>
      </c>
      <c r="E342" s="23" t="s">
        <v>731</v>
      </c>
    </row>
    <row r="343" spans="1:6" x14ac:dyDescent="0.25">
      <c r="A343" s="23" t="s">
        <v>381</v>
      </c>
      <c r="E343" s="23" t="s">
        <v>756</v>
      </c>
    </row>
    <row r="344" spans="1:6" x14ac:dyDescent="0.25">
      <c r="A344" s="23" t="s">
        <v>572</v>
      </c>
      <c r="B344" t="s">
        <v>1201</v>
      </c>
      <c r="C344" s="6" t="s">
        <v>1698</v>
      </c>
      <c r="E344" s="23" t="s">
        <v>862</v>
      </c>
      <c r="F344" t="s">
        <v>1623</v>
      </c>
    </row>
    <row r="345" spans="1:6" x14ac:dyDescent="0.25">
      <c r="A345" s="23" t="s">
        <v>490</v>
      </c>
      <c r="B345" t="s">
        <v>1201</v>
      </c>
      <c r="C345" s="6" t="s">
        <v>1598</v>
      </c>
      <c r="E345" s="23" t="s">
        <v>878</v>
      </c>
      <c r="F345" t="s">
        <v>1602</v>
      </c>
    </row>
    <row r="346" spans="1:6" x14ac:dyDescent="0.25">
      <c r="A346" s="23" t="s">
        <v>491</v>
      </c>
      <c r="B346" t="s">
        <v>1201</v>
      </c>
      <c r="C346" s="6" t="s">
        <v>1599</v>
      </c>
      <c r="E346" s="23" t="s">
        <v>861</v>
      </c>
      <c r="F346" t="s">
        <v>1603</v>
      </c>
    </row>
    <row r="347" spans="1:6" x14ac:dyDescent="0.25">
      <c r="A347" s="23" t="s">
        <v>492</v>
      </c>
      <c r="B347" t="s">
        <v>1201</v>
      </c>
      <c r="C347" s="6" t="s">
        <v>1600</v>
      </c>
      <c r="E347" s="23" t="s">
        <v>879</v>
      </c>
      <c r="F347" t="s">
        <v>1604</v>
      </c>
    </row>
    <row r="348" spans="1:6" x14ac:dyDescent="0.25">
      <c r="A348" s="23" t="s">
        <v>493</v>
      </c>
      <c r="B348" t="s">
        <v>1201</v>
      </c>
      <c r="C348" s="6" t="s">
        <v>1601</v>
      </c>
      <c r="E348" s="23" t="s">
        <v>866</v>
      </c>
      <c r="F348" t="s">
        <v>1605</v>
      </c>
    </row>
    <row r="349" spans="1:6" x14ac:dyDescent="0.25">
      <c r="A349" s="23" t="s">
        <v>573</v>
      </c>
      <c r="E349" s="23" t="s">
        <v>861</v>
      </c>
    </row>
    <row r="350" spans="1:6" x14ac:dyDescent="0.25">
      <c r="A350" s="23" t="s">
        <v>494</v>
      </c>
      <c r="B350" t="s">
        <v>1201</v>
      </c>
      <c r="C350" s="6" t="s">
        <v>1241</v>
      </c>
      <c r="E350" s="23" t="s">
        <v>873</v>
      </c>
      <c r="F350" t="s">
        <v>1574</v>
      </c>
    </row>
    <row r="351" spans="1:6" x14ac:dyDescent="0.25">
      <c r="A351" s="23" t="s">
        <v>495</v>
      </c>
      <c r="B351" t="s">
        <v>1201</v>
      </c>
      <c r="C351" s="6" t="s">
        <v>1242</v>
      </c>
      <c r="E351" s="23" t="s">
        <v>874</v>
      </c>
      <c r="F351" t="s">
        <v>1575</v>
      </c>
    </row>
    <row r="352" spans="1:6" x14ac:dyDescent="0.25">
      <c r="A352" s="23" t="s">
        <v>1058</v>
      </c>
      <c r="B352" t="s">
        <v>1201</v>
      </c>
      <c r="C352" s="6" t="s">
        <v>1622</v>
      </c>
      <c r="E352" s="23" t="s">
        <v>850</v>
      </c>
      <c r="F352" t="s">
        <v>1621</v>
      </c>
    </row>
    <row r="353" spans="1:8" x14ac:dyDescent="0.25">
      <c r="A353" s="23" t="s">
        <v>534</v>
      </c>
      <c r="B353" t="s">
        <v>1201</v>
      </c>
      <c r="C353" s="6" t="s">
        <v>1243</v>
      </c>
      <c r="E353" s="23" t="s">
        <v>942</v>
      </c>
      <c r="F353" t="s">
        <v>1576</v>
      </c>
    </row>
    <row r="354" spans="1:8" x14ac:dyDescent="0.25">
      <c r="A354" s="23" t="s">
        <v>1011</v>
      </c>
      <c r="E354" s="23" t="s">
        <v>714</v>
      </c>
    </row>
    <row r="355" spans="1:8" x14ac:dyDescent="0.25">
      <c r="A355" s="23" t="s">
        <v>1015</v>
      </c>
      <c r="E355" s="23" t="s">
        <v>719</v>
      </c>
    </row>
    <row r="356" spans="1:8" x14ac:dyDescent="0.25">
      <c r="A356" s="23" t="s">
        <v>1012</v>
      </c>
      <c r="E356" s="23" t="s">
        <v>715</v>
      </c>
    </row>
    <row r="357" spans="1:8" x14ac:dyDescent="0.25">
      <c r="A357" s="23" t="s">
        <v>1013</v>
      </c>
      <c r="E357" s="23" t="s">
        <v>716</v>
      </c>
    </row>
    <row r="358" spans="1:8" x14ac:dyDescent="0.25">
      <c r="A358" s="23" t="s">
        <v>511</v>
      </c>
      <c r="B358" t="s">
        <v>1201</v>
      </c>
      <c r="C358" s="6" t="s">
        <v>1236</v>
      </c>
      <c r="E358" s="23" t="s">
        <v>857</v>
      </c>
      <c r="F358" t="s">
        <v>1577</v>
      </c>
    </row>
    <row r="359" spans="1:8" x14ac:dyDescent="0.25">
      <c r="A359" s="23" t="s">
        <v>512</v>
      </c>
      <c r="B359" t="s">
        <v>1201</v>
      </c>
      <c r="C359" s="6" t="s">
        <v>1237</v>
      </c>
      <c r="E359" s="23" t="s">
        <v>858</v>
      </c>
      <c r="F359" t="s">
        <v>1578</v>
      </c>
    </row>
    <row r="360" spans="1:8" x14ac:dyDescent="0.25">
      <c r="A360" s="23" t="s">
        <v>513</v>
      </c>
      <c r="B360" t="s">
        <v>1201</v>
      </c>
      <c r="C360" s="6" t="s">
        <v>1238</v>
      </c>
      <c r="E360" s="23" t="s">
        <v>859</v>
      </c>
      <c r="F360" t="s">
        <v>1579</v>
      </c>
    </row>
    <row r="361" spans="1:8" x14ac:dyDescent="0.25">
      <c r="A361" s="23" t="s">
        <v>514</v>
      </c>
      <c r="B361" t="s">
        <v>1201</v>
      </c>
      <c r="C361" s="6" t="s">
        <v>1239</v>
      </c>
      <c r="E361" s="23" t="s">
        <v>860</v>
      </c>
      <c r="F361" t="s">
        <v>1580</v>
      </c>
    </row>
    <row r="362" spans="1:8" x14ac:dyDescent="0.25">
      <c r="A362" s="23" t="s">
        <v>535</v>
      </c>
      <c r="E362" s="23" t="s">
        <v>951</v>
      </c>
    </row>
    <row r="363" spans="1:8" x14ac:dyDescent="0.25">
      <c r="A363" s="23" t="s">
        <v>219</v>
      </c>
      <c r="E363" s="23" t="s">
        <v>837</v>
      </c>
      <c r="H363" t="s">
        <v>1147</v>
      </c>
    </row>
    <row r="365" spans="1:8" x14ac:dyDescent="0.25">
      <c r="B365" t="s">
        <v>1201</v>
      </c>
      <c r="C365" s="6" t="s">
        <v>1299</v>
      </c>
      <c r="F365" t="s">
        <v>1309</v>
      </c>
      <c r="G365" s="6" t="s">
        <v>1299</v>
      </c>
    </row>
    <row r="366" spans="1:8" x14ac:dyDescent="0.25">
      <c r="B366" t="s">
        <v>1201</v>
      </c>
      <c r="C366" s="6" t="s">
        <v>1397</v>
      </c>
      <c r="F366" t="s">
        <v>1398</v>
      </c>
      <c r="G366" s="29" t="s">
        <v>1397</v>
      </c>
    </row>
    <row r="367" spans="1:8" x14ac:dyDescent="0.25">
      <c r="B367" t="s">
        <v>1201</v>
      </c>
      <c r="C367" s="6" t="s">
        <v>1310</v>
      </c>
      <c r="F367" t="s">
        <v>1311</v>
      </c>
      <c r="G367" s="29" t="s">
        <v>1310</v>
      </c>
    </row>
    <row r="368" spans="1:8" x14ac:dyDescent="0.25">
      <c r="B368" t="s">
        <v>1201</v>
      </c>
      <c r="C368" s="6" t="s">
        <v>1300</v>
      </c>
      <c r="F368" t="s">
        <v>1313</v>
      </c>
      <c r="G368" s="6" t="s">
        <v>1300</v>
      </c>
    </row>
    <row r="369" spans="2:8" x14ac:dyDescent="0.25">
      <c r="B369" t="s">
        <v>1409</v>
      </c>
      <c r="C369" s="6" t="s">
        <v>1411</v>
      </c>
      <c r="F369" t="s">
        <v>1412</v>
      </c>
      <c r="G369" s="29" t="s">
        <v>1411</v>
      </c>
    </row>
    <row r="370" spans="2:8" x14ac:dyDescent="0.25">
      <c r="B370" t="s">
        <v>1201</v>
      </c>
      <c r="C370" s="6" t="s">
        <v>1314</v>
      </c>
      <c r="F370" t="s">
        <v>1315</v>
      </c>
      <c r="G370" s="29" t="s">
        <v>1314</v>
      </c>
    </row>
    <row r="371" spans="2:8" x14ac:dyDescent="0.25">
      <c r="B371" t="s">
        <v>1201</v>
      </c>
      <c r="C371" s="6" t="s">
        <v>1301</v>
      </c>
      <c r="F371" t="s">
        <v>1319</v>
      </c>
      <c r="G371" s="29" t="s">
        <v>1756</v>
      </c>
    </row>
    <row r="372" spans="2:8" x14ac:dyDescent="0.25">
      <c r="B372" t="s">
        <v>1201</v>
      </c>
      <c r="C372" s="6" t="s">
        <v>1320</v>
      </c>
      <c r="F372" t="s">
        <v>1321</v>
      </c>
      <c r="G372" s="29" t="s">
        <v>1757</v>
      </c>
    </row>
    <row r="374" spans="2:8" x14ac:dyDescent="0.25">
      <c r="B374" t="s">
        <v>1201</v>
      </c>
      <c r="C374" s="5" t="s">
        <v>1874</v>
      </c>
      <c r="F374" t="s">
        <v>1790</v>
      </c>
      <c r="G374" s="29" t="s">
        <v>1760</v>
      </c>
      <c r="H374" t="s">
        <v>1866</v>
      </c>
    </row>
    <row r="375" spans="2:8" x14ac:dyDescent="0.25">
      <c r="B375" t="s">
        <v>1201</v>
      </c>
      <c r="C375" s="5" t="s">
        <v>1875</v>
      </c>
      <c r="F375" t="s">
        <v>1329</v>
      </c>
      <c r="G375" s="29" t="s">
        <v>1761</v>
      </c>
      <c r="H375" t="s">
        <v>1866</v>
      </c>
    </row>
    <row r="376" spans="2:8" x14ac:dyDescent="0.25">
      <c r="C376" s="6" t="s">
        <v>1876</v>
      </c>
      <c r="G376" s="29"/>
    </row>
    <row r="377" spans="2:8" x14ac:dyDescent="0.25">
      <c r="B377" t="s">
        <v>1201</v>
      </c>
      <c r="C377" s="5" t="s">
        <v>1877</v>
      </c>
      <c r="F377" t="s">
        <v>1330</v>
      </c>
      <c r="G377" s="29" t="s">
        <v>1755</v>
      </c>
      <c r="H377" t="s">
        <v>1866</v>
      </c>
    </row>
    <row r="378" spans="2:8" x14ac:dyDescent="0.25">
      <c r="B378" t="s">
        <v>1201</v>
      </c>
      <c r="C378" s="5" t="s">
        <v>1878</v>
      </c>
      <c r="F378" t="s">
        <v>1331</v>
      </c>
      <c r="G378" s="29" t="s">
        <v>1762</v>
      </c>
      <c r="H378" t="s">
        <v>1866</v>
      </c>
    </row>
    <row r="379" spans="2:8" x14ac:dyDescent="0.25">
      <c r="B379" t="s">
        <v>1201</v>
      </c>
      <c r="C379" s="5" t="s">
        <v>1879</v>
      </c>
      <c r="F379" t="s">
        <v>1332</v>
      </c>
      <c r="G379" s="29" t="s">
        <v>1763</v>
      </c>
      <c r="H379" t="s">
        <v>1866</v>
      </c>
    </row>
    <row r="380" spans="2:8" x14ac:dyDescent="0.25">
      <c r="B380" t="s">
        <v>1201</v>
      </c>
      <c r="C380" s="5" t="s">
        <v>1865</v>
      </c>
      <c r="F380" t="s">
        <v>1333</v>
      </c>
      <c r="G380" s="29" t="s">
        <v>1764</v>
      </c>
      <c r="H380" t="s">
        <v>1866</v>
      </c>
    </row>
    <row r="381" spans="2:8" x14ac:dyDescent="0.25">
      <c r="B381" t="s">
        <v>1201</v>
      </c>
      <c r="C381" s="5" t="s">
        <v>1867</v>
      </c>
      <c r="F381" t="s">
        <v>1334</v>
      </c>
      <c r="G381" s="29" t="s">
        <v>1765</v>
      </c>
      <c r="H381" t="s">
        <v>1866</v>
      </c>
    </row>
    <row r="382" spans="2:8" x14ac:dyDescent="0.25">
      <c r="B382" t="s">
        <v>1201</v>
      </c>
      <c r="C382" s="5" t="s">
        <v>1868</v>
      </c>
      <c r="F382" t="s">
        <v>1335</v>
      </c>
      <c r="G382" s="29" t="s">
        <v>1766</v>
      </c>
      <c r="H382" t="s">
        <v>1866</v>
      </c>
    </row>
    <row r="383" spans="2:8" x14ac:dyDescent="0.25">
      <c r="B383" t="s">
        <v>1201</v>
      </c>
      <c r="C383" s="5" t="s">
        <v>1869</v>
      </c>
      <c r="F383" t="s">
        <v>1336</v>
      </c>
      <c r="G383" s="29" t="s">
        <v>1767</v>
      </c>
      <c r="H383" t="s">
        <v>1866</v>
      </c>
    </row>
    <row r="384" spans="2:8" x14ac:dyDescent="0.25">
      <c r="B384" t="s">
        <v>1201</v>
      </c>
      <c r="C384" s="5" t="s">
        <v>1870</v>
      </c>
      <c r="F384" t="s">
        <v>1337</v>
      </c>
      <c r="G384" s="29" t="s">
        <v>1768</v>
      </c>
      <c r="H384" t="s">
        <v>1866</v>
      </c>
    </row>
    <row r="385" spans="2:8" x14ac:dyDescent="0.25">
      <c r="B385" t="s">
        <v>1201</v>
      </c>
      <c r="C385" s="5" t="s">
        <v>1871</v>
      </c>
      <c r="F385" t="s">
        <v>1338</v>
      </c>
      <c r="G385" s="29" t="s">
        <v>1769</v>
      </c>
      <c r="H385" t="s">
        <v>1866</v>
      </c>
    </row>
    <row r="386" spans="2:8" x14ac:dyDescent="0.25">
      <c r="B386" t="s">
        <v>1201</v>
      </c>
      <c r="C386" s="5" t="s">
        <v>1872</v>
      </c>
      <c r="F386" t="s">
        <v>1339</v>
      </c>
      <c r="G386" s="29" t="s">
        <v>1770</v>
      </c>
      <c r="H386" t="s">
        <v>1866</v>
      </c>
    </row>
    <row r="387" spans="2:8" x14ac:dyDescent="0.25">
      <c r="B387" t="s">
        <v>1201</v>
      </c>
      <c r="C387" s="5" t="s">
        <v>1873</v>
      </c>
      <c r="F387" t="s">
        <v>1340</v>
      </c>
      <c r="G387" s="29" t="s">
        <v>1771</v>
      </c>
      <c r="H387" t="s">
        <v>1866</v>
      </c>
    </row>
    <row r="388" spans="2:8" x14ac:dyDescent="0.25">
      <c r="B388" t="s">
        <v>1201</v>
      </c>
      <c r="C388" s="5" t="s">
        <v>1880</v>
      </c>
      <c r="F388" t="s">
        <v>1341</v>
      </c>
      <c r="G388" s="29" t="s">
        <v>1772</v>
      </c>
      <c r="H388" t="s">
        <v>1866</v>
      </c>
    </row>
    <row r="389" spans="2:8" x14ac:dyDescent="0.25">
      <c r="B389" t="s">
        <v>1201</v>
      </c>
      <c r="C389" s="5" t="s">
        <v>1881</v>
      </c>
      <c r="F389" t="s">
        <v>1342</v>
      </c>
      <c r="G389" s="29" t="s">
        <v>1773</v>
      </c>
      <c r="H389" t="s">
        <v>1866</v>
      </c>
    </row>
    <row r="390" spans="2:8" x14ac:dyDescent="0.25">
      <c r="B390" t="s">
        <v>1201</v>
      </c>
      <c r="C390" s="5" t="s">
        <v>1882</v>
      </c>
      <c r="F390" t="s">
        <v>1343</v>
      </c>
      <c r="G390" s="29" t="s">
        <v>1774</v>
      </c>
      <c r="H390" t="s">
        <v>1866</v>
      </c>
    </row>
    <row r="391" spans="2:8" x14ac:dyDescent="0.25">
      <c r="B391" t="s">
        <v>1201</v>
      </c>
      <c r="C391" s="5" t="s">
        <v>1883</v>
      </c>
      <c r="F391" t="s">
        <v>1344</v>
      </c>
      <c r="G391" s="29" t="s">
        <v>1775</v>
      </c>
      <c r="H391" t="s">
        <v>1866</v>
      </c>
    </row>
    <row r="392" spans="2:8" x14ac:dyDescent="0.25">
      <c r="B392" t="s">
        <v>1201</v>
      </c>
      <c r="C392" s="5" t="s">
        <v>1884</v>
      </c>
      <c r="F392" t="s">
        <v>1345</v>
      </c>
      <c r="G392" s="29" t="s">
        <v>1776</v>
      </c>
      <c r="H392" t="s">
        <v>1866</v>
      </c>
    </row>
    <row r="393" spans="2:8" x14ac:dyDescent="0.25">
      <c r="B393" t="s">
        <v>1201</v>
      </c>
      <c r="C393" s="5" t="s">
        <v>1885</v>
      </c>
      <c r="F393" t="s">
        <v>1346</v>
      </c>
      <c r="G393" s="29" t="s">
        <v>1777</v>
      </c>
      <c r="H393" t="s">
        <v>1866</v>
      </c>
    </row>
    <row r="394" spans="2:8" x14ac:dyDescent="0.25">
      <c r="B394" t="s">
        <v>1201</v>
      </c>
      <c r="C394" s="5" t="s">
        <v>1886</v>
      </c>
      <c r="F394" t="s">
        <v>1347</v>
      </c>
      <c r="G394" s="29" t="s">
        <v>1778</v>
      </c>
      <c r="H394" t="s">
        <v>1866</v>
      </c>
    </row>
    <row r="395" spans="2:8" x14ac:dyDescent="0.25">
      <c r="B395" t="s">
        <v>1201</v>
      </c>
      <c r="C395" s="5" t="s">
        <v>1887</v>
      </c>
      <c r="F395" t="s">
        <v>1348</v>
      </c>
      <c r="G395" s="29" t="s">
        <v>1779</v>
      </c>
      <c r="H395" t="s">
        <v>1866</v>
      </c>
    </row>
    <row r="396" spans="2:8" x14ac:dyDescent="0.25">
      <c r="B396" t="s">
        <v>1201</v>
      </c>
      <c r="C396" s="5" t="s">
        <v>1888</v>
      </c>
      <c r="F396" t="s">
        <v>1349</v>
      </c>
      <c r="G396" s="29" t="s">
        <v>1780</v>
      </c>
      <c r="H396" t="s">
        <v>1866</v>
      </c>
    </row>
    <row r="397" spans="2:8" x14ac:dyDescent="0.25">
      <c r="B397" t="s">
        <v>1759</v>
      </c>
      <c r="C397" s="6" t="s">
        <v>1368</v>
      </c>
      <c r="F397" s="6" t="s">
        <v>1350</v>
      </c>
      <c r="G397" s="29"/>
      <c r="H397" s="6" t="s">
        <v>1370</v>
      </c>
    </row>
    <row r="398" spans="2:8" x14ac:dyDescent="0.25">
      <c r="B398" t="s">
        <v>1201</v>
      </c>
      <c r="C398" s="5" t="s">
        <v>1889</v>
      </c>
      <c r="F398" t="s">
        <v>1351</v>
      </c>
      <c r="G398" s="29" t="s">
        <v>1781</v>
      </c>
    </row>
    <row r="399" spans="2:8" x14ac:dyDescent="0.25">
      <c r="B399" t="s">
        <v>1201</v>
      </c>
      <c r="C399" s="5" t="s">
        <v>1890</v>
      </c>
      <c r="F399" t="s">
        <v>1352</v>
      </c>
      <c r="G399" s="29" t="s">
        <v>1782</v>
      </c>
    </row>
    <row r="400" spans="2:8" x14ac:dyDescent="0.25">
      <c r="B400" t="s">
        <v>1201</v>
      </c>
      <c r="C400" s="5" t="s">
        <v>1891</v>
      </c>
      <c r="F400" t="s">
        <v>1353</v>
      </c>
      <c r="G400" s="29" t="s">
        <v>1783</v>
      </c>
    </row>
    <row r="401" spans="2:8" x14ac:dyDescent="0.25">
      <c r="B401" t="s">
        <v>1201</v>
      </c>
      <c r="C401" s="5" t="s">
        <v>1892</v>
      </c>
      <c r="F401" t="s">
        <v>1354</v>
      </c>
      <c r="G401" s="29" t="s">
        <v>1784</v>
      </c>
    </row>
    <row r="402" spans="2:8" x14ac:dyDescent="0.25">
      <c r="B402" t="s">
        <v>1201</v>
      </c>
      <c r="C402" s="5" t="s">
        <v>1390</v>
      </c>
      <c r="F402" t="s">
        <v>1326</v>
      </c>
      <c r="G402" s="29" t="s">
        <v>1390</v>
      </c>
      <c r="H402" s="5" t="s">
        <v>1899</v>
      </c>
    </row>
    <row r="403" spans="2:8" x14ac:dyDescent="0.25">
      <c r="B403" t="s">
        <v>1201</v>
      </c>
      <c r="C403" s="5" t="s">
        <v>1791</v>
      </c>
      <c r="F403" t="s">
        <v>16</v>
      </c>
      <c r="G403" s="5" t="s">
        <v>1791</v>
      </c>
      <c r="H403" s="5" t="s">
        <v>1898</v>
      </c>
    </row>
    <row r="404" spans="2:8" x14ac:dyDescent="0.25">
      <c r="B404" t="s">
        <v>1201</v>
      </c>
      <c r="C404" s="5" t="s">
        <v>1792</v>
      </c>
      <c r="F404" t="s">
        <v>15</v>
      </c>
      <c r="G404" s="5" t="s">
        <v>1792</v>
      </c>
      <c r="H404" s="5" t="s">
        <v>1898</v>
      </c>
    </row>
    <row r="405" spans="2:8" x14ac:dyDescent="0.25">
      <c r="B405" t="s">
        <v>1201</v>
      </c>
      <c r="C405" s="5" t="s">
        <v>1391</v>
      </c>
      <c r="F405" t="s">
        <v>12</v>
      </c>
      <c r="G405" s="5" t="s">
        <v>1391</v>
      </c>
      <c r="H405" s="5" t="s">
        <v>1898</v>
      </c>
    </row>
    <row r="406" spans="2:8" x14ac:dyDescent="0.25">
      <c r="B406" t="s">
        <v>1201</v>
      </c>
      <c r="C406" s="6" t="s">
        <v>1629</v>
      </c>
      <c r="F406" t="s">
        <v>1324</v>
      </c>
      <c r="G406" s="29"/>
    </row>
    <row r="407" spans="2:8" x14ac:dyDescent="0.25">
      <c r="B407" t="s">
        <v>1201</v>
      </c>
      <c r="C407" s="29" t="s">
        <v>1787</v>
      </c>
      <c r="F407" s="6" t="s">
        <v>1323</v>
      </c>
      <c r="G407" s="29" t="s">
        <v>1787</v>
      </c>
    </row>
    <row r="408" spans="2:8" x14ac:dyDescent="0.25">
      <c r="B408" t="s">
        <v>1201</v>
      </c>
      <c r="C408" s="29" t="s">
        <v>1786</v>
      </c>
      <c r="F408" s="6" t="s">
        <v>1324</v>
      </c>
      <c r="G408" s="29" t="s">
        <v>1786</v>
      </c>
    </row>
    <row r="409" spans="2:8" x14ac:dyDescent="0.25">
      <c r="B409" t="s">
        <v>1201</v>
      </c>
      <c r="C409" s="29" t="s">
        <v>1788</v>
      </c>
      <c r="F409" s="6" t="s">
        <v>1326</v>
      </c>
      <c r="G409" s="29" t="s">
        <v>1788</v>
      </c>
    </row>
    <row r="410" spans="2:8" x14ac:dyDescent="0.25">
      <c r="B410" t="s">
        <v>1759</v>
      </c>
      <c r="C410" s="6" t="s">
        <v>1328</v>
      </c>
      <c r="F410" s="6" t="s">
        <v>77</v>
      </c>
      <c r="G410" s="29"/>
    </row>
    <row r="411" spans="2:8" x14ac:dyDescent="0.25">
      <c r="B411" t="s">
        <v>1201</v>
      </c>
      <c r="C411" s="5" t="s">
        <v>1894</v>
      </c>
      <c r="F411" s="6" t="s">
        <v>1658</v>
      </c>
      <c r="G411" s="29" t="s">
        <v>1789</v>
      </c>
      <c r="H411" s="5" t="s">
        <v>1893</v>
      </c>
    </row>
    <row r="412" spans="2:8" x14ac:dyDescent="0.25">
      <c r="B412" t="s">
        <v>1201</v>
      </c>
      <c r="C412" s="5" t="s">
        <v>1895</v>
      </c>
      <c r="F412" s="6" t="s">
        <v>1355</v>
      </c>
      <c r="G412" s="29" t="s">
        <v>1793</v>
      </c>
      <c r="H412" s="5" t="s">
        <v>1893</v>
      </c>
    </row>
    <row r="413" spans="2:8" x14ac:dyDescent="0.25">
      <c r="B413" t="s">
        <v>1201</v>
      </c>
      <c r="C413" s="5" t="s">
        <v>1896</v>
      </c>
      <c r="F413" t="s">
        <v>1356</v>
      </c>
      <c r="G413" s="29" t="s">
        <v>1794</v>
      </c>
      <c r="H413" s="5" t="s">
        <v>1893</v>
      </c>
    </row>
    <row r="414" spans="2:8" x14ac:dyDescent="0.25">
      <c r="B414" t="s">
        <v>1201</v>
      </c>
      <c r="C414" s="5" t="s">
        <v>1897</v>
      </c>
      <c r="F414" s="6" t="s">
        <v>1357</v>
      </c>
      <c r="G414" s="29" t="s">
        <v>1795</v>
      </c>
      <c r="H414" s="5" t="s">
        <v>1893</v>
      </c>
    </row>
    <row r="415" spans="2:8" x14ac:dyDescent="0.25">
      <c r="B415" t="s">
        <v>1201</v>
      </c>
      <c r="C415" s="5" t="s">
        <v>1901</v>
      </c>
      <c r="F415" s="6" t="s">
        <v>1902</v>
      </c>
      <c r="G415" s="29"/>
      <c r="H415" s="5"/>
    </row>
    <row r="416" spans="2:8" x14ac:dyDescent="0.25">
      <c r="B416" t="s">
        <v>1201</v>
      </c>
      <c r="C416" s="5" t="s">
        <v>1904</v>
      </c>
      <c r="F416" s="6" t="s">
        <v>1905</v>
      </c>
      <c r="G416" s="29"/>
      <c r="H416" s="5"/>
    </row>
    <row r="417" spans="1:8" x14ac:dyDescent="0.25">
      <c r="B417" t="s">
        <v>1759</v>
      </c>
      <c r="C417" s="6" t="s">
        <v>1702</v>
      </c>
    </row>
    <row r="418" spans="1:8" x14ac:dyDescent="0.25">
      <c r="B418" t="s">
        <v>1759</v>
      </c>
      <c r="C418" s="6" t="s">
        <v>1758</v>
      </c>
      <c r="F418" s="6" t="s">
        <v>1284</v>
      </c>
      <c r="G418" s="29" t="s">
        <v>1785</v>
      </c>
    </row>
    <row r="419" spans="1:8" x14ac:dyDescent="0.25">
      <c r="B419" t="s">
        <v>1201</v>
      </c>
      <c r="C419" s="6" t="s">
        <v>1807</v>
      </c>
      <c r="F419" s="5" t="s">
        <v>1849</v>
      </c>
      <c r="G419" s="29"/>
    </row>
    <row r="420" spans="1:8" x14ac:dyDescent="0.25">
      <c r="B420" t="s">
        <v>1201</v>
      </c>
      <c r="C420" s="6" t="s">
        <v>1808</v>
      </c>
      <c r="F420" s="5" t="s">
        <v>1850</v>
      </c>
      <c r="G420" s="29"/>
    </row>
    <row r="421" spans="1:8" x14ac:dyDescent="0.25">
      <c r="B421" t="s">
        <v>1201</v>
      </c>
      <c r="C421" s="6" t="s">
        <v>1809</v>
      </c>
      <c r="F421" s="5" t="s">
        <v>1851</v>
      </c>
      <c r="G421" s="29"/>
    </row>
    <row r="422" spans="1:8" x14ac:dyDescent="0.25">
      <c r="B422" t="s">
        <v>1201</v>
      </c>
      <c r="C422" s="5" t="s">
        <v>1854</v>
      </c>
      <c r="F422" s="5" t="s">
        <v>1852</v>
      </c>
      <c r="G422" s="29"/>
    </row>
    <row r="423" spans="1:8" x14ac:dyDescent="0.25">
      <c r="B423" t="s">
        <v>1201</v>
      </c>
      <c r="C423" s="5" t="s">
        <v>1855</v>
      </c>
      <c r="F423" s="5" t="s">
        <v>1853</v>
      </c>
      <c r="G423" s="29"/>
    </row>
    <row r="424" spans="1:8" x14ac:dyDescent="0.25">
      <c r="B424" t="s">
        <v>1201</v>
      </c>
      <c r="C424" s="5" t="s">
        <v>1856</v>
      </c>
      <c r="F424" s="5" t="s">
        <v>1857</v>
      </c>
      <c r="G424" s="29"/>
    </row>
    <row r="425" spans="1:8" x14ac:dyDescent="0.25">
      <c r="C425" s="5"/>
      <c r="F425" s="29"/>
      <c r="G425" s="29"/>
    </row>
    <row r="426" spans="1:8" x14ac:dyDescent="0.25">
      <c r="A426" s="22" t="s">
        <v>1710</v>
      </c>
    </row>
    <row r="427" spans="1:8" x14ac:dyDescent="0.25">
      <c r="A427" s="23" t="s">
        <v>1723</v>
      </c>
      <c r="E427" s="23" t="s">
        <v>1520</v>
      </c>
    </row>
    <row r="428" spans="1:8" x14ac:dyDescent="0.25">
      <c r="A428" s="23" t="s">
        <v>1713</v>
      </c>
      <c r="B428" s="5" t="s">
        <v>1201</v>
      </c>
      <c r="C428" s="5" t="s">
        <v>1826</v>
      </c>
      <c r="D428" s="5"/>
      <c r="E428" s="32" t="s">
        <v>1728</v>
      </c>
      <c r="F428" s="5" t="s">
        <v>1728</v>
      </c>
      <c r="H428" s="5"/>
    </row>
    <row r="429" spans="1:8" x14ac:dyDescent="0.25">
      <c r="A429" s="23" t="s">
        <v>1715</v>
      </c>
      <c r="B429" s="5" t="s">
        <v>1201</v>
      </c>
      <c r="C429" s="5" t="s">
        <v>1827</v>
      </c>
      <c r="D429" s="5"/>
      <c r="E429" s="32" t="s">
        <v>1729</v>
      </c>
      <c r="F429" s="5" t="s">
        <v>1729</v>
      </c>
      <c r="H429" s="5"/>
    </row>
    <row r="430" spans="1:8" x14ac:dyDescent="0.25">
      <c r="A430" s="23" t="s">
        <v>1714</v>
      </c>
      <c r="B430" s="5" t="s">
        <v>1201</v>
      </c>
      <c r="C430" s="5" t="s">
        <v>1828</v>
      </c>
      <c r="D430" s="5"/>
      <c r="E430" s="32" t="s">
        <v>1730</v>
      </c>
      <c r="F430" s="5" t="s">
        <v>1730</v>
      </c>
      <c r="H430" s="5"/>
    </row>
    <row r="431" spans="1:8" x14ac:dyDescent="0.25">
      <c r="A431" s="23" t="s">
        <v>1716</v>
      </c>
      <c r="B431" s="5" t="s">
        <v>1201</v>
      </c>
      <c r="C431" s="5" t="s">
        <v>1829</v>
      </c>
      <c r="D431" s="5"/>
      <c r="E431" s="32" t="s">
        <v>1731</v>
      </c>
      <c r="F431" s="5" t="s">
        <v>1731</v>
      </c>
      <c r="H431" s="5"/>
    </row>
    <row r="432" spans="1:8" x14ac:dyDescent="0.25">
      <c r="A432" s="23" t="s">
        <v>1712</v>
      </c>
      <c r="B432" s="5" t="s">
        <v>1201</v>
      </c>
      <c r="C432" s="5" t="s">
        <v>1832</v>
      </c>
      <c r="D432" s="5"/>
      <c r="E432" s="53" t="s">
        <v>1541</v>
      </c>
      <c r="F432" s="5" t="s">
        <v>1541</v>
      </c>
      <c r="H432" s="5"/>
    </row>
    <row r="433" spans="1:8" x14ac:dyDescent="0.25">
      <c r="A433" s="23" t="s">
        <v>1724</v>
      </c>
      <c r="E433" s="23" t="s">
        <v>1573</v>
      </c>
    </row>
    <row r="434" spans="1:8" x14ac:dyDescent="0.25">
      <c r="A434" s="23" t="s">
        <v>1725</v>
      </c>
      <c r="B434" s="5" t="s">
        <v>1201</v>
      </c>
      <c r="C434" s="5" t="s">
        <v>1833</v>
      </c>
      <c r="D434" s="5"/>
      <c r="E434" s="53" t="s">
        <v>1732</v>
      </c>
      <c r="F434" s="5" t="s">
        <v>1732</v>
      </c>
      <c r="H434" s="5"/>
    </row>
    <row r="435" spans="1:8" x14ac:dyDescent="0.25">
      <c r="A435" s="23" t="s">
        <v>334</v>
      </c>
      <c r="B435" s="6"/>
      <c r="H435" s="6"/>
    </row>
    <row r="436" spans="1:8" x14ac:dyDescent="0.25">
      <c r="A436" s="23" t="s">
        <v>333</v>
      </c>
      <c r="B436" s="6"/>
      <c r="H436" s="6"/>
    </row>
    <row r="437" spans="1:8" x14ac:dyDescent="0.25">
      <c r="A437" s="23" t="s">
        <v>330</v>
      </c>
    </row>
    <row r="438" spans="1:8" x14ac:dyDescent="0.25">
      <c r="A438" s="23" t="s">
        <v>1717</v>
      </c>
      <c r="B438" s="5" t="s">
        <v>1201</v>
      </c>
      <c r="C438" s="5" t="s">
        <v>1834</v>
      </c>
      <c r="D438" s="5"/>
      <c r="E438" s="32"/>
      <c r="F438" s="5" t="s">
        <v>1835</v>
      </c>
      <c r="G438" s="5"/>
      <c r="H438" s="5"/>
    </row>
    <row r="439" spans="1:8" x14ac:dyDescent="0.25">
      <c r="A439" s="23" t="s">
        <v>1718</v>
      </c>
    </row>
    <row r="440" spans="1:8" x14ac:dyDescent="0.25">
      <c r="A440" s="23" t="s">
        <v>1719</v>
      </c>
      <c r="E440" s="23" t="s">
        <v>1708</v>
      </c>
    </row>
    <row r="441" spans="1:8" x14ac:dyDescent="0.25">
      <c r="A441" s="23" t="s">
        <v>331</v>
      </c>
    </row>
    <row r="442" spans="1:8" x14ac:dyDescent="0.25">
      <c r="A442" s="23" t="s">
        <v>1711</v>
      </c>
      <c r="E442" s="23" t="s">
        <v>1727</v>
      </c>
    </row>
    <row r="443" spans="1:8" x14ac:dyDescent="0.25">
      <c r="A443" s="23" t="s">
        <v>1720</v>
      </c>
    </row>
    <row r="444" spans="1:8" x14ac:dyDescent="0.25">
      <c r="A444" s="23" t="s">
        <v>1709</v>
      </c>
      <c r="E444" s="23" t="s">
        <v>1726</v>
      </c>
    </row>
    <row r="445" spans="1:8" x14ac:dyDescent="0.25">
      <c r="A445" s="23" t="s">
        <v>1721</v>
      </c>
    </row>
    <row r="446" spans="1:8" x14ac:dyDescent="0.25">
      <c r="A446" s="23" t="s">
        <v>335</v>
      </c>
    </row>
    <row r="447" spans="1:8" x14ac:dyDescent="0.25">
      <c r="A447" s="23" t="s">
        <v>1722</v>
      </c>
    </row>
    <row r="448" spans="1:8" x14ac:dyDescent="0.25">
      <c r="A448" s="23" t="s">
        <v>1734</v>
      </c>
      <c r="E448" s="23" t="s">
        <v>1733</v>
      </c>
    </row>
    <row r="449" spans="1:6" x14ac:dyDescent="0.25">
      <c r="A449" s="23" t="s">
        <v>1735</v>
      </c>
      <c r="E449" s="23" t="s">
        <v>1741</v>
      </c>
    </row>
    <row r="450" spans="1:6" x14ac:dyDescent="0.25">
      <c r="A450" s="23" t="s">
        <v>1736</v>
      </c>
      <c r="E450" s="23" t="s">
        <v>1742</v>
      </c>
    </row>
    <row r="451" spans="1:6" x14ac:dyDescent="0.25">
      <c r="A451" s="23" t="s">
        <v>1737</v>
      </c>
      <c r="E451" s="23" t="s">
        <v>1743</v>
      </c>
    </row>
    <row r="452" spans="1:6" x14ac:dyDescent="0.25">
      <c r="A452" s="23" t="s">
        <v>1738</v>
      </c>
      <c r="E452" s="23" t="s">
        <v>1744</v>
      </c>
    </row>
    <row r="453" spans="1:6" x14ac:dyDescent="0.25">
      <c r="A453" s="23" t="s">
        <v>1739</v>
      </c>
      <c r="E453" s="23" t="s">
        <v>1745</v>
      </c>
    </row>
    <row r="454" spans="1:6" x14ac:dyDescent="0.25">
      <c r="A454" s="23" t="s">
        <v>1740</v>
      </c>
      <c r="E454" s="23" t="s">
        <v>1746</v>
      </c>
    </row>
    <row r="457" spans="1:6" x14ac:dyDescent="0.25">
      <c r="C457" s="6" t="s">
        <v>1907</v>
      </c>
      <c r="F457" t="s">
        <v>1906</v>
      </c>
    </row>
    <row r="458" spans="1:6" x14ac:dyDescent="0.25">
      <c r="C458" s="6" t="s">
        <v>1910</v>
      </c>
      <c r="F458" t="s">
        <v>1908</v>
      </c>
    </row>
    <row r="459" spans="1:6" x14ac:dyDescent="0.25">
      <c r="C459" s="6" t="s">
        <v>1910</v>
      </c>
      <c r="F459" t="s">
        <v>1909</v>
      </c>
    </row>
    <row r="460" spans="1:6" x14ac:dyDescent="0.25">
      <c r="C460" s="6" t="s">
        <v>1907</v>
      </c>
      <c r="F460" t="s">
        <v>1911</v>
      </c>
    </row>
    <row r="461" spans="1:6" x14ac:dyDescent="0.25">
      <c r="C461" s="6" t="s">
        <v>1907</v>
      </c>
      <c r="F461" t="s">
        <v>1912</v>
      </c>
    </row>
    <row r="462" spans="1:6" x14ac:dyDescent="0.25">
      <c r="C462" s="6" t="s">
        <v>1907</v>
      </c>
      <c r="F462" t="s">
        <v>1913</v>
      </c>
    </row>
    <row r="463" spans="1:6" x14ac:dyDescent="0.25">
      <c r="C463" s="6" t="s">
        <v>1907</v>
      </c>
      <c r="F463" t="s">
        <v>1914</v>
      </c>
    </row>
    <row r="465" spans="3:6" x14ac:dyDescent="0.25">
      <c r="C465" s="6" t="s">
        <v>1915</v>
      </c>
      <c r="F465" t="s">
        <v>1916</v>
      </c>
    </row>
  </sheetData>
  <autoFilter ref="A1:H363"/>
  <sortState ref="A2:H364">
    <sortCondition ref="A2"/>
  </sortState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2"/>
  <sheetViews>
    <sheetView workbookViewId="0">
      <pane ySplit="1" topLeftCell="A658" activePane="bottomLeft" state="frozen"/>
      <selection pane="bottomLeft" activeCell="B675" sqref="B675"/>
    </sheetView>
  </sheetViews>
  <sheetFormatPr defaultRowHeight="15" x14ac:dyDescent="0.25"/>
  <cols>
    <col min="1" max="1" width="44.7109375" style="23" bestFit="1" customWidth="1"/>
    <col min="2" max="2" width="44.7109375" customWidth="1"/>
    <col min="3" max="3" width="51" style="23" bestFit="1" customWidth="1"/>
    <col min="4" max="4" width="24.85546875" bestFit="1" customWidth="1"/>
    <col min="5" max="5" width="32.85546875" customWidth="1"/>
  </cols>
  <sheetData>
    <row r="1" spans="1:4" s="13" customFormat="1" x14ac:dyDescent="0.25">
      <c r="A1" s="22" t="s">
        <v>1156</v>
      </c>
      <c r="B1" s="13" t="s">
        <v>1159</v>
      </c>
      <c r="C1" s="22" t="s">
        <v>1157</v>
      </c>
      <c r="D1" s="13" t="s">
        <v>1158</v>
      </c>
    </row>
    <row r="2" spans="1:4" x14ac:dyDescent="0.25">
      <c r="A2" s="23" t="s">
        <v>100</v>
      </c>
      <c r="C2" s="23" t="s">
        <v>380</v>
      </c>
    </row>
    <row r="3" spans="1:4" x14ac:dyDescent="0.25">
      <c r="C3" s="23" t="s">
        <v>381</v>
      </c>
    </row>
    <row r="5" spans="1:4" x14ac:dyDescent="0.25">
      <c r="A5" s="23" t="s">
        <v>321</v>
      </c>
      <c r="B5" t="s">
        <v>1206</v>
      </c>
      <c r="C5" s="23" t="s">
        <v>382</v>
      </c>
      <c r="D5" t="str">
        <f>Objects!C258</f>
        <v>GXS_01</v>
      </c>
    </row>
    <row r="6" spans="1:4" x14ac:dyDescent="0.25">
      <c r="C6" s="23" t="s">
        <v>383</v>
      </c>
      <c r="D6" t="str">
        <f>Objects!C259</f>
        <v>GXS_02</v>
      </c>
    </row>
    <row r="7" spans="1:4" x14ac:dyDescent="0.25">
      <c r="C7" s="23" t="s">
        <v>384</v>
      </c>
      <c r="D7" t="str">
        <f>Objects!C260</f>
        <v>GXS_03</v>
      </c>
    </row>
    <row r="8" spans="1:4" x14ac:dyDescent="0.25">
      <c r="C8" s="23" t="s">
        <v>385</v>
      </c>
      <c r="D8" t="str">
        <f>Objects!C261</f>
        <v>GXS_04</v>
      </c>
    </row>
    <row r="9" spans="1:4" x14ac:dyDescent="0.25">
      <c r="D9" t="str">
        <f>Objects!C262</f>
        <v>GXS_05</v>
      </c>
    </row>
    <row r="10" spans="1:4" x14ac:dyDescent="0.25">
      <c r="D10" s="5" t="str">
        <f>Objects!C432</f>
        <v>GXS_06</v>
      </c>
    </row>
    <row r="12" spans="1:4" x14ac:dyDescent="0.25">
      <c r="A12" s="23" t="s">
        <v>322</v>
      </c>
      <c r="C12" s="23" t="s">
        <v>386</v>
      </c>
    </row>
    <row r="13" spans="1:4" x14ac:dyDescent="0.25">
      <c r="C13" s="23" t="s">
        <v>387</v>
      </c>
    </row>
    <row r="15" spans="1:4" x14ac:dyDescent="0.25">
      <c r="A15" s="23" t="s">
        <v>204</v>
      </c>
      <c r="C15" s="23" t="s">
        <v>388</v>
      </c>
    </row>
    <row r="17" spans="1:3" x14ac:dyDescent="0.25">
      <c r="A17" s="23" t="s">
        <v>63</v>
      </c>
      <c r="C17" s="23" t="s">
        <v>389</v>
      </c>
    </row>
    <row r="18" spans="1:3" x14ac:dyDescent="0.25">
      <c r="C18" s="23" t="s">
        <v>388</v>
      </c>
    </row>
    <row r="19" spans="1:3" x14ac:dyDescent="0.25">
      <c r="C19" s="23" t="s">
        <v>390</v>
      </c>
    </row>
    <row r="20" spans="1:3" x14ac:dyDescent="0.25">
      <c r="C20" s="23" t="s">
        <v>391</v>
      </c>
    </row>
    <row r="21" spans="1:3" x14ac:dyDescent="0.25">
      <c r="C21" s="23" t="s">
        <v>392</v>
      </c>
    </row>
    <row r="22" spans="1:3" x14ac:dyDescent="0.25">
      <c r="C22" s="23" t="s">
        <v>387</v>
      </c>
    </row>
    <row r="23" spans="1:3" x14ac:dyDescent="0.25">
      <c r="C23" s="23" t="s">
        <v>386</v>
      </c>
    </row>
    <row r="24" spans="1:3" x14ac:dyDescent="0.25">
      <c r="C24" s="23" t="s">
        <v>393</v>
      </c>
    </row>
    <row r="25" spans="1:3" x14ac:dyDescent="0.25">
      <c r="C25" s="23" t="s">
        <v>394</v>
      </c>
    </row>
    <row r="26" spans="1:3" x14ac:dyDescent="0.25">
      <c r="C26" s="23" t="s">
        <v>395</v>
      </c>
    </row>
    <row r="28" spans="1:3" x14ac:dyDescent="0.25">
      <c r="A28" s="23" t="s">
        <v>75</v>
      </c>
      <c r="C28" s="23" t="s">
        <v>396</v>
      </c>
    </row>
    <row r="29" spans="1:3" x14ac:dyDescent="0.25">
      <c r="C29" s="23" t="s">
        <v>397</v>
      </c>
    </row>
    <row r="30" spans="1:3" x14ac:dyDescent="0.25">
      <c r="C30" s="23" t="s">
        <v>398</v>
      </c>
    </row>
    <row r="31" spans="1:3" x14ac:dyDescent="0.25">
      <c r="C31" s="23" t="s">
        <v>399</v>
      </c>
    </row>
    <row r="32" spans="1:3" x14ac:dyDescent="0.25">
      <c r="C32" s="23" t="s">
        <v>389</v>
      </c>
    </row>
    <row r="33" spans="3:3" x14ac:dyDescent="0.25">
      <c r="C33" s="23" t="s">
        <v>400</v>
      </c>
    </row>
    <row r="34" spans="3:3" x14ac:dyDescent="0.25">
      <c r="C34" s="23" t="s">
        <v>401</v>
      </c>
    </row>
    <row r="35" spans="3:3" x14ac:dyDescent="0.25">
      <c r="C35" s="23" t="s">
        <v>402</v>
      </c>
    </row>
    <row r="36" spans="3:3" x14ac:dyDescent="0.25">
      <c r="C36" s="23" t="s">
        <v>403</v>
      </c>
    </row>
    <row r="37" spans="3:3" x14ac:dyDescent="0.25">
      <c r="C37" s="23" t="s">
        <v>388</v>
      </c>
    </row>
    <row r="38" spans="3:3" x14ac:dyDescent="0.25">
      <c r="C38" s="23" t="s">
        <v>386</v>
      </c>
    </row>
    <row r="39" spans="3:3" x14ac:dyDescent="0.25">
      <c r="C39" s="23" t="s">
        <v>390</v>
      </c>
    </row>
    <row r="40" spans="3:3" x14ac:dyDescent="0.25">
      <c r="C40" s="23" t="s">
        <v>404</v>
      </c>
    </row>
    <row r="41" spans="3:3" x14ac:dyDescent="0.25">
      <c r="C41" s="23" t="s">
        <v>405</v>
      </c>
    </row>
    <row r="42" spans="3:3" x14ac:dyDescent="0.25">
      <c r="C42" s="23" t="s">
        <v>406</v>
      </c>
    </row>
    <row r="43" spans="3:3" x14ac:dyDescent="0.25">
      <c r="C43" s="23" t="s">
        <v>407</v>
      </c>
    </row>
    <row r="44" spans="3:3" x14ac:dyDescent="0.25">
      <c r="C44" s="23" t="s">
        <v>408</v>
      </c>
    </row>
    <row r="45" spans="3:3" x14ac:dyDescent="0.25">
      <c r="C45" s="23" t="s">
        <v>409</v>
      </c>
    </row>
    <row r="46" spans="3:3" x14ac:dyDescent="0.25">
      <c r="C46" s="23" t="s">
        <v>410</v>
      </c>
    </row>
    <row r="47" spans="3:3" x14ac:dyDescent="0.25">
      <c r="C47" s="23" t="s">
        <v>411</v>
      </c>
    </row>
    <row r="48" spans="3:3" x14ac:dyDescent="0.25">
      <c r="C48" s="23" t="s">
        <v>412</v>
      </c>
    </row>
    <row r="49" spans="3:3" x14ac:dyDescent="0.25">
      <c r="C49" s="23" t="s">
        <v>387</v>
      </c>
    </row>
    <row r="50" spans="3:3" x14ac:dyDescent="0.25">
      <c r="C50" s="23" t="s">
        <v>413</v>
      </c>
    </row>
    <row r="51" spans="3:3" x14ac:dyDescent="0.25">
      <c r="C51" s="23" t="s">
        <v>414</v>
      </c>
    </row>
    <row r="52" spans="3:3" x14ac:dyDescent="0.25">
      <c r="C52" s="23" t="s">
        <v>415</v>
      </c>
    </row>
    <row r="53" spans="3:3" x14ac:dyDescent="0.25">
      <c r="C53" s="23" t="s">
        <v>416</v>
      </c>
    </row>
    <row r="54" spans="3:3" x14ac:dyDescent="0.25">
      <c r="C54" s="23" t="s">
        <v>417</v>
      </c>
    </row>
    <row r="55" spans="3:3" x14ac:dyDescent="0.25">
      <c r="C55" s="23" t="s">
        <v>418</v>
      </c>
    </row>
    <row r="56" spans="3:3" x14ac:dyDescent="0.25">
      <c r="C56" s="23" t="s">
        <v>419</v>
      </c>
    </row>
    <row r="57" spans="3:3" x14ac:dyDescent="0.25">
      <c r="C57" s="23" t="s">
        <v>420</v>
      </c>
    </row>
    <row r="58" spans="3:3" x14ac:dyDescent="0.25">
      <c r="C58" s="23" t="s">
        <v>421</v>
      </c>
    </row>
    <row r="59" spans="3:3" x14ac:dyDescent="0.25">
      <c r="C59" s="23" t="s">
        <v>422</v>
      </c>
    </row>
    <row r="60" spans="3:3" x14ac:dyDescent="0.25">
      <c r="C60" s="23" t="s">
        <v>423</v>
      </c>
    </row>
    <row r="61" spans="3:3" x14ac:dyDescent="0.25">
      <c r="C61" s="23" t="s">
        <v>424</v>
      </c>
    </row>
    <row r="62" spans="3:3" x14ac:dyDescent="0.25">
      <c r="C62" s="23" t="s">
        <v>425</v>
      </c>
    </row>
    <row r="63" spans="3:3" x14ac:dyDescent="0.25">
      <c r="C63" s="23" t="s">
        <v>426</v>
      </c>
    </row>
    <row r="64" spans="3:3" x14ac:dyDescent="0.25">
      <c r="C64" s="23" t="s">
        <v>427</v>
      </c>
    </row>
    <row r="65" spans="1:4" x14ac:dyDescent="0.25">
      <c r="C65" s="23" t="s">
        <v>428</v>
      </c>
    </row>
    <row r="66" spans="1:4" x14ac:dyDescent="0.25">
      <c r="C66" s="23" t="s">
        <v>429</v>
      </c>
    </row>
    <row r="68" spans="1:4" x14ac:dyDescent="0.25">
      <c r="A68" s="23" t="s">
        <v>46</v>
      </c>
      <c r="C68" s="23" t="s">
        <v>430</v>
      </c>
    </row>
    <row r="69" spans="1:4" x14ac:dyDescent="0.25">
      <c r="C69" s="23" t="s">
        <v>431</v>
      </c>
    </row>
    <row r="70" spans="1:4" x14ac:dyDescent="0.25">
      <c r="C70" s="23" t="s">
        <v>432</v>
      </c>
    </row>
    <row r="72" spans="1:4" x14ac:dyDescent="0.25">
      <c r="A72" s="23" t="s">
        <v>44</v>
      </c>
      <c r="B72" t="s">
        <v>1628</v>
      </c>
      <c r="C72" s="23" t="s">
        <v>433</v>
      </c>
      <c r="D72" t="str">
        <f>Objects!C211</f>
        <v>CrushInternal01</v>
      </c>
    </row>
    <row r="73" spans="1:4" x14ac:dyDescent="0.25">
      <c r="C73" s="23" t="s">
        <v>434</v>
      </c>
    </row>
    <row r="74" spans="1:4" x14ac:dyDescent="0.25">
      <c r="C74" s="23" t="s">
        <v>435</v>
      </c>
    </row>
    <row r="76" spans="1:4" x14ac:dyDescent="0.25">
      <c r="A76" s="23" t="s">
        <v>323</v>
      </c>
      <c r="C76" s="23" t="s">
        <v>1168</v>
      </c>
    </row>
    <row r="77" spans="1:4" x14ac:dyDescent="0.25">
      <c r="C77" s="23" t="s">
        <v>1169</v>
      </c>
    </row>
    <row r="79" spans="1:4" x14ac:dyDescent="0.25">
      <c r="A79" s="23" t="s">
        <v>324</v>
      </c>
      <c r="C79" s="23" t="s">
        <v>436</v>
      </c>
    </row>
    <row r="80" spans="1:4" x14ac:dyDescent="0.25">
      <c r="C80" s="23" t="s">
        <v>437</v>
      </c>
    </row>
    <row r="81" spans="3:3" x14ac:dyDescent="0.25">
      <c r="C81" s="23" t="s">
        <v>438</v>
      </c>
    </row>
    <row r="82" spans="3:3" x14ac:dyDescent="0.25">
      <c r="C82" s="23" t="s">
        <v>439</v>
      </c>
    </row>
    <row r="83" spans="3:3" x14ac:dyDescent="0.25">
      <c r="C83" s="23" t="s">
        <v>440</v>
      </c>
    </row>
    <row r="84" spans="3:3" x14ac:dyDescent="0.25">
      <c r="C84" s="23" t="s">
        <v>441</v>
      </c>
    </row>
    <row r="85" spans="3:3" x14ac:dyDescent="0.25">
      <c r="C85" s="23" t="s">
        <v>411</v>
      </c>
    </row>
    <row r="86" spans="3:3" x14ac:dyDescent="0.25">
      <c r="C86" s="23" t="s">
        <v>442</v>
      </c>
    </row>
    <row r="87" spans="3:3" x14ac:dyDescent="0.25">
      <c r="C87" s="23" t="s">
        <v>403</v>
      </c>
    </row>
    <row r="88" spans="3:3" x14ac:dyDescent="0.25">
      <c r="C88" s="23" t="s">
        <v>443</v>
      </c>
    </row>
    <row r="89" spans="3:3" x14ac:dyDescent="0.25">
      <c r="C89" s="23" t="s">
        <v>428</v>
      </c>
    </row>
    <row r="90" spans="3:3" x14ac:dyDescent="0.25">
      <c r="C90" s="23" t="s">
        <v>444</v>
      </c>
    </row>
    <row r="91" spans="3:3" x14ac:dyDescent="0.25">
      <c r="C91" s="23" t="s">
        <v>445</v>
      </c>
    </row>
    <row r="92" spans="3:3" x14ac:dyDescent="0.25">
      <c r="C92" s="23" t="s">
        <v>414</v>
      </c>
    </row>
    <row r="93" spans="3:3" x14ac:dyDescent="0.25">
      <c r="C93" s="23" t="s">
        <v>446</v>
      </c>
    </row>
    <row r="94" spans="3:3" x14ac:dyDescent="0.25">
      <c r="C94" s="23" t="s">
        <v>409</v>
      </c>
    </row>
    <row r="95" spans="3:3" x14ac:dyDescent="0.25">
      <c r="C95" s="23" t="s">
        <v>447</v>
      </c>
    </row>
    <row r="96" spans="3:3" x14ac:dyDescent="0.25">
      <c r="C96" s="23" t="s">
        <v>448</v>
      </c>
    </row>
    <row r="97" spans="1:3" x14ac:dyDescent="0.25">
      <c r="C97" s="23" t="s">
        <v>449</v>
      </c>
    </row>
    <row r="99" spans="1:3" x14ac:dyDescent="0.25">
      <c r="A99" s="23" t="s">
        <v>325</v>
      </c>
      <c r="C99" s="23" t="s">
        <v>396</v>
      </c>
    </row>
    <row r="100" spans="1:3" x14ac:dyDescent="0.25">
      <c r="C100" s="23" t="s">
        <v>398</v>
      </c>
    </row>
    <row r="101" spans="1:3" x14ac:dyDescent="0.25">
      <c r="C101" s="23" t="s">
        <v>399</v>
      </c>
    </row>
    <row r="102" spans="1:3" x14ac:dyDescent="0.25">
      <c r="C102" s="23" t="s">
        <v>412</v>
      </c>
    </row>
    <row r="103" spans="1:3" x14ac:dyDescent="0.25">
      <c r="C103" s="23" t="s">
        <v>397</v>
      </c>
    </row>
    <row r="104" spans="1:3" x14ac:dyDescent="0.25">
      <c r="C104" s="23" t="s">
        <v>427</v>
      </c>
    </row>
    <row r="105" spans="1:3" x14ac:dyDescent="0.25">
      <c r="C105" s="23" t="s">
        <v>429</v>
      </c>
    </row>
    <row r="107" spans="1:3" x14ac:dyDescent="0.25">
      <c r="A107" s="23" t="s">
        <v>74</v>
      </c>
      <c r="C107" s="23" t="s">
        <v>389</v>
      </c>
    </row>
    <row r="108" spans="1:3" x14ac:dyDescent="0.25">
      <c r="C108" s="23" t="s">
        <v>388</v>
      </c>
    </row>
    <row r="109" spans="1:3" x14ac:dyDescent="0.25">
      <c r="C109" s="23" t="s">
        <v>391</v>
      </c>
    </row>
    <row r="110" spans="1:3" x14ac:dyDescent="0.25">
      <c r="C110" s="23" t="s">
        <v>404</v>
      </c>
    </row>
    <row r="111" spans="1:3" x14ac:dyDescent="0.25">
      <c r="C111" s="23" t="s">
        <v>450</v>
      </c>
    </row>
    <row r="112" spans="1:3" x14ac:dyDescent="0.25">
      <c r="C112" s="23" t="s">
        <v>392</v>
      </c>
    </row>
    <row r="113" spans="1:3" x14ac:dyDescent="0.25">
      <c r="C113" s="23" t="s">
        <v>451</v>
      </c>
    </row>
    <row r="115" spans="1:3" x14ac:dyDescent="0.25">
      <c r="A115" s="23" t="s">
        <v>220</v>
      </c>
      <c r="C115" s="23" t="s">
        <v>452</v>
      </c>
    </row>
    <row r="116" spans="1:3" x14ac:dyDescent="0.25">
      <c r="C116" s="23" t="s">
        <v>402</v>
      </c>
    </row>
    <row r="117" spans="1:3" x14ac:dyDescent="0.25">
      <c r="C117" s="23" t="s">
        <v>390</v>
      </c>
    </row>
    <row r="118" spans="1:3" x14ac:dyDescent="0.25">
      <c r="C118" s="23" t="s">
        <v>413</v>
      </c>
    </row>
    <row r="119" spans="1:3" x14ac:dyDescent="0.25">
      <c r="C119" s="23" t="s">
        <v>401</v>
      </c>
    </row>
    <row r="120" spans="1:3" x14ac:dyDescent="0.25">
      <c r="C120" s="23" t="s">
        <v>418</v>
      </c>
    </row>
    <row r="121" spans="1:3" x14ac:dyDescent="0.25">
      <c r="C121" s="23" t="s">
        <v>387</v>
      </c>
    </row>
    <row r="122" spans="1:3" x14ac:dyDescent="0.25">
      <c r="C122" s="23" t="s">
        <v>419</v>
      </c>
    </row>
    <row r="123" spans="1:3" x14ac:dyDescent="0.25">
      <c r="C123" s="23" t="s">
        <v>453</v>
      </c>
    </row>
    <row r="125" spans="1:3" x14ac:dyDescent="0.25">
      <c r="A125" s="23" t="s">
        <v>221</v>
      </c>
      <c r="C125" s="23" t="s">
        <v>454</v>
      </c>
    </row>
    <row r="126" spans="1:3" x14ac:dyDescent="0.25">
      <c r="C126" s="23" t="s">
        <v>455</v>
      </c>
    </row>
    <row r="127" spans="1:3" x14ac:dyDescent="0.25">
      <c r="C127" s="23" t="s">
        <v>456</v>
      </c>
    </row>
    <row r="128" spans="1:3" x14ac:dyDescent="0.25">
      <c r="C128" s="23" t="s">
        <v>420</v>
      </c>
    </row>
    <row r="129" spans="3:3" x14ac:dyDescent="0.25">
      <c r="C129" s="23" t="s">
        <v>408</v>
      </c>
    </row>
    <row r="130" spans="3:3" x14ac:dyDescent="0.25">
      <c r="C130" s="23" t="s">
        <v>423</v>
      </c>
    </row>
    <row r="131" spans="3:3" x14ac:dyDescent="0.25">
      <c r="C131" s="23" t="s">
        <v>457</v>
      </c>
    </row>
    <row r="132" spans="3:3" x14ac:dyDescent="0.25">
      <c r="C132" s="23" t="s">
        <v>458</v>
      </c>
    </row>
    <row r="133" spans="3:3" x14ac:dyDescent="0.25">
      <c r="C133" s="23" t="s">
        <v>459</v>
      </c>
    </row>
    <row r="134" spans="3:3" x14ac:dyDescent="0.25">
      <c r="C134" s="23" t="s">
        <v>460</v>
      </c>
    </row>
    <row r="135" spans="3:3" x14ac:dyDescent="0.25">
      <c r="C135" s="23" t="s">
        <v>461</v>
      </c>
    </row>
    <row r="136" spans="3:3" x14ac:dyDescent="0.25">
      <c r="C136" s="23" t="s">
        <v>421</v>
      </c>
    </row>
    <row r="137" spans="3:3" x14ac:dyDescent="0.25">
      <c r="C137" s="23" t="s">
        <v>407</v>
      </c>
    </row>
    <row r="138" spans="3:3" x14ac:dyDescent="0.25">
      <c r="C138" s="23" t="s">
        <v>417</v>
      </c>
    </row>
    <row r="139" spans="3:3" x14ac:dyDescent="0.25">
      <c r="C139" s="23" t="s">
        <v>406</v>
      </c>
    </row>
    <row r="140" spans="3:3" x14ac:dyDescent="0.25">
      <c r="C140" s="23" t="s">
        <v>441</v>
      </c>
    </row>
    <row r="141" spans="3:3" x14ac:dyDescent="0.25">
      <c r="C141" s="23" t="s">
        <v>424</v>
      </c>
    </row>
    <row r="142" spans="3:3" x14ac:dyDescent="0.25">
      <c r="C142" s="23" t="s">
        <v>416</v>
      </c>
    </row>
    <row r="143" spans="3:3" x14ac:dyDescent="0.25">
      <c r="C143" s="23" t="s">
        <v>400</v>
      </c>
    </row>
    <row r="144" spans="3:3" x14ac:dyDescent="0.25">
      <c r="C144" s="23" t="s">
        <v>449</v>
      </c>
    </row>
    <row r="145" spans="1:4" x14ac:dyDescent="0.25">
      <c r="C145" s="23" t="s">
        <v>462</v>
      </c>
    </row>
    <row r="146" spans="1:4" x14ac:dyDescent="0.25">
      <c r="C146" s="23" t="s">
        <v>463</v>
      </c>
    </row>
    <row r="147" spans="1:4" x14ac:dyDescent="0.25">
      <c r="C147" s="23" t="s">
        <v>464</v>
      </c>
    </row>
    <row r="148" spans="1:4" x14ac:dyDescent="0.25">
      <c r="C148" s="23" t="s">
        <v>465</v>
      </c>
    </row>
    <row r="149" spans="1:4" x14ac:dyDescent="0.25">
      <c r="C149" s="23" t="s">
        <v>466</v>
      </c>
    </row>
    <row r="150" spans="1:4" x14ac:dyDescent="0.25">
      <c r="C150" s="23" t="s">
        <v>394</v>
      </c>
    </row>
    <row r="151" spans="1:4" x14ac:dyDescent="0.25">
      <c r="C151" s="23" t="s">
        <v>467</v>
      </c>
    </row>
    <row r="152" spans="1:4" x14ac:dyDescent="0.25">
      <c r="C152" s="23" t="s">
        <v>468</v>
      </c>
    </row>
    <row r="154" spans="1:4" x14ac:dyDescent="0.25">
      <c r="A154" s="23" t="s">
        <v>86</v>
      </c>
      <c r="C154" s="23" t="s">
        <v>1169</v>
      </c>
    </row>
    <row r="155" spans="1:4" x14ac:dyDescent="0.25">
      <c r="C155" s="23" t="s">
        <v>404</v>
      </c>
    </row>
    <row r="157" spans="1:4" x14ac:dyDescent="0.25">
      <c r="A157" s="23" t="s">
        <v>326</v>
      </c>
      <c r="B157" t="s">
        <v>1225</v>
      </c>
      <c r="C157" s="23" t="s">
        <v>469</v>
      </c>
      <c r="D157" t="str">
        <f>Objects!C254</f>
        <v>GERC_01</v>
      </c>
    </row>
    <row r="158" spans="1:4" x14ac:dyDescent="0.25">
      <c r="C158" s="23" t="s">
        <v>470</v>
      </c>
      <c r="D158" t="str">
        <f>Objects!C255</f>
        <v>GERC_02</v>
      </c>
    </row>
    <row r="160" spans="1:4" x14ac:dyDescent="0.25">
      <c r="A160" s="23" t="s">
        <v>327</v>
      </c>
      <c r="B160" t="s">
        <v>1224</v>
      </c>
      <c r="C160" s="23" t="s">
        <v>471</v>
      </c>
      <c r="D160" t="str">
        <f>Objects!C309</f>
        <v>Sempra_01</v>
      </c>
    </row>
    <row r="161" spans="1:4" x14ac:dyDescent="0.25">
      <c r="D161" s="5" t="str">
        <f>Objects!C434</f>
        <v>Sempra_02</v>
      </c>
    </row>
    <row r="163" spans="1:4" x14ac:dyDescent="0.25">
      <c r="A163" s="23" t="s">
        <v>179</v>
      </c>
      <c r="C163" s="23" t="s">
        <v>1169</v>
      </c>
    </row>
    <row r="164" spans="1:4" x14ac:dyDescent="0.25">
      <c r="C164" s="23" t="s">
        <v>404</v>
      </c>
    </row>
    <row r="165" spans="1:4" x14ac:dyDescent="0.25">
      <c r="C165" s="23" t="s">
        <v>454</v>
      </c>
    </row>
    <row r="166" spans="1:4" x14ac:dyDescent="0.25">
      <c r="C166" s="23" t="s">
        <v>472</v>
      </c>
    </row>
    <row r="167" spans="1:4" x14ac:dyDescent="0.25">
      <c r="C167" s="23" t="s">
        <v>473</v>
      </c>
    </row>
    <row r="169" spans="1:4" x14ac:dyDescent="0.25">
      <c r="A169" s="23" t="s">
        <v>328</v>
      </c>
      <c r="B169" t="s">
        <v>1228</v>
      </c>
      <c r="C169" s="23" t="s">
        <v>474</v>
      </c>
      <c r="D169" t="str">
        <f>Objects!C287</f>
        <v>PSEG_01</v>
      </c>
    </row>
    <row r="171" spans="1:4" x14ac:dyDescent="0.25">
      <c r="A171" s="23" t="s">
        <v>68</v>
      </c>
      <c r="C171" s="23" t="s">
        <v>475</v>
      </c>
    </row>
    <row r="172" spans="1:4" x14ac:dyDescent="0.25">
      <c r="C172" s="23" t="s">
        <v>388</v>
      </c>
    </row>
    <row r="173" spans="1:4" x14ac:dyDescent="0.25">
      <c r="C173" s="23" t="s">
        <v>391</v>
      </c>
    </row>
    <row r="174" spans="1:4" x14ac:dyDescent="0.25">
      <c r="C174" s="23" t="s">
        <v>404</v>
      </c>
    </row>
    <row r="175" spans="1:4" x14ac:dyDescent="0.25">
      <c r="C175" s="23" t="s">
        <v>450</v>
      </c>
    </row>
    <row r="176" spans="1:4" x14ac:dyDescent="0.25">
      <c r="C176" s="23" t="s">
        <v>392</v>
      </c>
    </row>
    <row r="177" spans="1:3" x14ac:dyDescent="0.25">
      <c r="C177" s="23" t="s">
        <v>451</v>
      </c>
    </row>
    <row r="178" spans="1:3" x14ac:dyDescent="0.25">
      <c r="C178" s="23" t="s">
        <v>476</v>
      </c>
    </row>
    <row r="180" spans="1:3" x14ac:dyDescent="0.25">
      <c r="A180" s="23" t="s">
        <v>220</v>
      </c>
      <c r="C180" s="23" t="s">
        <v>408</v>
      </c>
    </row>
    <row r="181" spans="1:3" x14ac:dyDescent="0.25">
      <c r="C181" s="23" t="s">
        <v>418</v>
      </c>
    </row>
    <row r="182" spans="1:3" x14ac:dyDescent="0.25">
      <c r="C182" s="23" t="s">
        <v>453</v>
      </c>
    </row>
    <row r="183" spans="1:3" x14ac:dyDescent="0.25">
      <c r="C183" s="23" t="s">
        <v>477</v>
      </c>
    </row>
    <row r="184" spans="1:3" x14ac:dyDescent="0.25">
      <c r="C184" s="23" t="s">
        <v>473</v>
      </c>
    </row>
    <row r="185" spans="1:3" x14ac:dyDescent="0.25">
      <c r="C185" s="23" t="s">
        <v>478</v>
      </c>
    </row>
    <row r="186" spans="1:3" x14ac:dyDescent="0.25">
      <c r="C186" s="23" t="s">
        <v>479</v>
      </c>
    </row>
    <row r="187" spans="1:3" x14ac:dyDescent="0.25">
      <c r="C187" s="23" t="s">
        <v>412</v>
      </c>
    </row>
    <row r="188" spans="1:3" x14ac:dyDescent="0.25">
      <c r="C188" s="23" t="s">
        <v>389</v>
      </c>
    </row>
    <row r="189" spans="1:3" x14ac:dyDescent="0.25">
      <c r="C189" s="23" t="s">
        <v>480</v>
      </c>
    </row>
    <row r="190" spans="1:3" x14ac:dyDescent="0.25">
      <c r="C190" s="23" t="s">
        <v>452</v>
      </c>
    </row>
    <row r="191" spans="1:3" x14ac:dyDescent="0.25">
      <c r="C191" s="23" t="s">
        <v>454</v>
      </c>
    </row>
    <row r="192" spans="1:3" x14ac:dyDescent="0.25">
      <c r="C192" s="23" t="s">
        <v>424</v>
      </c>
    </row>
    <row r="193" spans="1:3" x14ac:dyDescent="0.25">
      <c r="C193" s="23" t="s">
        <v>417</v>
      </c>
    </row>
    <row r="194" spans="1:3" x14ac:dyDescent="0.25">
      <c r="C194" s="23" t="s">
        <v>481</v>
      </c>
    </row>
    <row r="195" spans="1:3" x14ac:dyDescent="0.25">
      <c r="C195" s="23" t="s">
        <v>482</v>
      </c>
    </row>
    <row r="196" spans="1:3" x14ac:dyDescent="0.25">
      <c r="C196" s="23" t="s">
        <v>455</v>
      </c>
    </row>
    <row r="197" spans="1:3" x14ac:dyDescent="0.25">
      <c r="C197" s="23" t="s">
        <v>421</v>
      </c>
    </row>
    <row r="198" spans="1:3" x14ac:dyDescent="0.25">
      <c r="C198" s="23" t="s">
        <v>416</v>
      </c>
    </row>
    <row r="199" spans="1:3" x14ac:dyDescent="0.25">
      <c r="C199" s="23" t="s">
        <v>483</v>
      </c>
    </row>
    <row r="200" spans="1:3" x14ac:dyDescent="0.25">
      <c r="C200" s="23" t="s">
        <v>472</v>
      </c>
    </row>
    <row r="201" spans="1:3" x14ac:dyDescent="0.25">
      <c r="C201" s="23" t="s">
        <v>484</v>
      </c>
    </row>
    <row r="202" spans="1:3" x14ac:dyDescent="0.25">
      <c r="C202" s="23" t="s">
        <v>485</v>
      </c>
    </row>
    <row r="203" spans="1:3" x14ac:dyDescent="0.25">
      <c r="C203" s="23" t="s">
        <v>486</v>
      </c>
    </row>
    <row r="204" spans="1:3" x14ac:dyDescent="0.25">
      <c r="C204" s="23" t="s">
        <v>487</v>
      </c>
    </row>
    <row r="205" spans="1:3" x14ac:dyDescent="0.25">
      <c r="C205" s="23" t="s">
        <v>488</v>
      </c>
    </row>
    <row r="207" spans="1:3" x14ac:dyDescent="0.25">
      <c r="A207" s="23" t="s">
        <v>66</v>
      </c>
      <c r="C207" s="23" t="s">
        <v>475</v>
      </c>
    </row>
    <row r="208" spans="1:3" x14ac:dyDescent="0.25">
      <c r="C208" s="23" t="s">
        <v>388</v>
      </c>
    </row>
    <row r="209" spans="1:4" x14ac:dyDescent="0.25">
      <c r="C209" s="23" t="s">
        <v>391</v>
      </c>
    </row>
    <row r="210" spans="1:4" x14ac:dyDescent="0.25">
      <c r="C210" s="23" t="s">
        <v>404</v>
      </c>
    </row>
    <row r="211" spans="1:4" x14ac:dyDescent="0.25">
      <c r="C211" s="23" t="s">
        <v>392</v>
      </c>
    </row>
    <row r="212" spans="1:4" x14ac:dyDescent="0.25">
      <c r="C212" s="23" t="s">
        <v>1170</v>
      </c>
    </row>
    <row r="213" spans="1:4" x14ac:dyDescent="0.25">
      <c r="C213" s="23" t="s">
        <v>387</v>
      </c>
    </row>
    <row r="214" spans="1:4" x14ac:dyDescent="0.25">
      <c r="C214" s="23" t="s">
        <v>454</v>
      </c>
    </row>
    <row r="215" spans="1:4" x14ac:dyDescent="0.25">
      <c r="C215" s="23" t="s">
        <v>1169</v>
      </c>
    </row>
    <row r="216" spans="1:4" x14ac:dyDescent="0.25">
      <c r="C216" s="23" t="s">
        <v>472</v>
      </c>
    </row>
    <row r="217" spans="1:4" x14ac:dyDescent="0.25">
      <c r="C217" s="23" t="s">
        <v>473</v>
      </c>
    </row>
    <row r="219" spans="1:4" x14ac:dyDescent="0.25">
      <c r="A219" s="23" t="s">
        <v>329</v>
      </c>
      <c r="B219" t="s">
        <v>1230</v>
      </c>
      <c r="C219" s="23" t="s">
        <v>489</v>
      </c>
      <c r="D219" t="str">
        <f>Objects!C245</f>
        <v>BPW_01</v>
      </c>
    </row>
    <row r="220" spans="1:4" x14ac:dyDescent="0.25">
      <c r="D220" s="5" t="str">
        <f>Objects!C246</f>
        <v>BPW_02</v>
      </c>
    </row>
    <row r="222" spans="1:4" x14ac:dyDescent="0.25">
      <c r="A222" s="23" t="s">
        <v>330</v>
      </c>
      <c r="B222" t="s">
        <v>1232</v>
      </c>
      <c r="C222" s="23" t="s">
        <v>490</v>
      </c>
      <c r="D222" t="str">
        <f>Objects!C345</f>
        <v>SUNDANCE_01</v>
      </c>
    </row>
    <row r="223" spans="1:4" x14ac:dyDescent="0.25">
      <c r="C223" s="23" t="s">
        <v>491</v>
      </c>
      <c r="D223" t="str">
        <f>Objects!C346</f>
        <v>SUNDANCE_02</v>
      </c>
    </row>
    <row r="224" spans="1:4" x14ac:dyDescent="0.25">
      <c r="C224" s="23" t="s">
        <v>492</v>
      </c>
      <c r="D224" t="str">
        <f>Objects!C347</f>
        <v>SUNDANCE_03</v>
      </c>
    </row>
    <row r="225" spans="1:4" x14ac:dyDescent="0.25">
      <c r="C225" s="23" t="s">
        <v>493</v>
      </c>
      <c r="D225" t="str">
        <f>Objects!C348</f>
        <v>SUNDANCE_04</v>
      </c>
    </row>
    <row r="227" spans="1:4" x14ac:dyDescent="0.25">
      <c r="A227" s="23" t="s">
        <v>331</v>
      </c>
      <c r="B227" t="s">
        <v>1240</v>
      </c>
      <c r="C227" s="23" t="s">
        <v>494</v>
      </c>
      <c r="D227" t="str">
        <f>Objects!C350</f>
        <v>TRICOM_01</v>
      </c>
    </row>
    <row r="228" spans="1:4" x14ac:dyDescent="0.25">
      <c r="C228" s="23" t="s">
        <v>495</v>
      </c>
      <c r="D228" t="str">
        <f>Objects!C351</f>
        <v>TRICOM_02</v>
      </c>
    </row>
    <row r="230" spans="1:4" x14ac:dyDescent="0.25">
      <c r="A230" s="23" t="s">
        <v>332</v>
      </c>
      <c r="B230" t="s">
        <v>1207</v>
      </c>
      <c r="C230" s="23" t="s">
        <v>496</v>
      </c>
      <c r="D230" t="str">
        <f>Objects!C285</f>
        <v>PGE_01</v>
      </c>
    </row>
    <row r="231" spans="1:4" x14ac:dyDescent="0.25">
      <c r="C231" s="23" t="s">
        <v>497</v>
      </c>
      <c r="D231" t="str">
        <f>Objects!C286</f>
        <v>PGE_02</v>
      </c>
    </row>
    <row r="232" spans="1:4" x14ac:dyDescent="0.25">
      <c r="D232" s="5" t="str">
        <f>Objects!C428</f>
        <v>PGE_03</v>
      </c>
    </row>
    <row r="233" spans="1:4" x14ac:dyDescent="0.25">
      <c r="D233" s="5" t="str">
        <f>Objects!C429</f>
        <v>PGE_04</v>
      </c>
    </row>
    <row r="234" spans="1:4" x14ac:dyDescent="0.25">
      <c r="D234" s="5" t="str">
        <f>Objects!C430</f>
        <v>PGE_05</v>
      </c>
    </row>
    <row r="235" spans="1:4" x14ac:dyDescent="0.25">
      <c r="D235" s="5" t="str">
        <f>Objects!C431</f>
        <v>PGE_06</v>
      </c>
    </row>
    <row r="237" spans="1:4" x14ac:dyDescent="0.25">
      <c r="A237" s="23" t="s">
        <v>333</v>
      </c>
      <c r="B237" t="s">
        <v>1210</v>
      </c>
      <c r="C237" s="23" t="s">
        <v>498</v>
      </c>
      <c r="D237" t="str">
        <f>Objects!C295</f>
        <v>SCE_01</v>
      </c>
    </row>
    <row r="238" spans="1:4" x14ac:dyDescent="0.25">
      <c r="C238" s="23" t="s">
        <v>499</v>
      </c>
      <c r="D238" t="str">
        <f>Objects!C296</f>
        <v>SCE_02</v>
      </c>
    </row>
    <row r="239" spans="1:4" x14ac:dyDescent="0.25">
      <c r="C239" s="23" t="s">
        <v>500</v>
      </c>
      <c r="D239" t="str">
        <f>Objects!C297</f>
        <v>SCE_03</v>
      </c>
    </row>
    <row r="240" spans="1:4" x14ac:dyDescent="0.25">
      <c r="C240" s="23" t="s">
        <v>501</v>
      </c>
      <c r="D240" t="str">
        <f>Objects!C298</f>
        <v>SCE_04</v>
      </c>
    </row>
    <row r="241" spans="1:4" x14ac:dyDescent="0.25">
      <c r="C241" s="23" t="s">
        <v>502</v>
      </c>
      <c r="D241" t="str">
        <f>Objects!C299</f>
        <v>SCE_05</v>
      </c>
    </row>
    <row r="242" spans="1:4" x14ac:dyDescent="0.25">
      <c r="C242" s="23" t="s">
        <v>503</v>
      </c>
      <c r="D242" t="str">
        <f>Objects!C300</f>
        <v>SCE_06</v>
      </c>
    </row>
    <row r="243" spans="1:4" x14ac:dyDescent="0.25">
      <c r="C243" s="23" t="s">
        <v>504</v>
      </c>
      <c r="D243" t="str">
        <f>Objects!C301</f>
        <v>SCE_07</v>
      </c>
    </row>
    <row r="244" spans="1:4" x14ac:dyDescent="0.25">
      <c r="C244" s="23" t="s">
        <v>505</v>
      </c>
      <c r="D244" t="str">
        <f>Objects!C302</f>
        <v>SCE_08</v>
      </c>
    </row>
    <row r="245" spans="1:4" x14ac:dyDescent="0.25">
      <c r="C245" s="23" t="s">
        <v>510</v>
      </c>
      <c r="D245" t="str">
        <f>Objects!C303</f>
        <v>SCE_09</v>
      </c>
    </row>
    <row r="246" spans="1:4" x14ac:dyDescent="0.25">
      <c r="C246" s="23" t="s">
        <v>506</v>
      </c>
      <c r="D246" t="str">
        <f>Objects!C304</f>
        <v>SCE_10</v>
      </c>
    </row>
    <row r="247" spans="1:4" x14ac:dyDescent="0.25">
      <c r="C247" s="23" t="s">
        <v>507</v>
      </c>
      <c r="D247" t="str">
        <f>Objects!C305</f>
        <v>SCE_11</v>
      </c>
    </row>
    <row r="248" spans="1:4" x14ac:dyDescent="0.25">
      <c r="C248" s="23" t="s">
        <v>508</v>
      </c>
      <c r="D248" t="str">
        <f>Objects!C306</f>
        <v>SCE_12</v>
      </c>
    </row>
    <row r="249" spans="1:4" x14ac:dyDescent="0.25">
      <c r="C249" s="23" t="s">
        <v>509</v>
      </c>
      <c r="D249" t="str">
        <f>Objects!C307</f>
        <v>SCE_13</v>
      </c>
    </row>
    <row r="251" spans="1:4" x14ac:dyDescent="0.25">
      <c r="A251" s="23" t="s">
        <v>334</v>
      </c>
      <c r="B251" t="s">
        <v>1235</v>
      </c>
      <c r="C251" s="23" t="s">
        <v>511</v>
      </c>
      <c r="D251" t="str">
        <f>Objects!C358</f>
        <v>WELLSFARGO_01</v>
      </c>
    </row>
    <row r="252" spans="1:4" x14ac:dyDescent="0.25">
      <c r="C252" s="23" t="s">
        <v>512</v>
      </c>
      <c r="D252" t="str">
        <f>Objects!C359</f>
        <v>WELLSFARGO_02</v>
      </c>
    </row>
    <row r="253" spans="1:4" x14ac:dyDescent="0.25">
      <c r="C253" s="23" t="s">
        <v>513</v>
      </c>
      <c r="D253" t="str">
        <f>Objects!C360</f>
        <v>WELLSFARGO_03</v>
      </c>
    </row>
    <row r="254" spans="1:4" x14ac:dyDescent="0.25">
      <c r="C254" s="23" t="s">
        <v>514</v>
      </c>
      <c r="D254" t="str">
        <f>Objects!C361</f>
        <v>WELLSFARGO_04</v>
      </c>
    </row>
    <row r="256" spans="1:4" x14ac:dyDescent="0.25">
      <c r="A256" s="23" t="s">
        <v>335</v>
      </c>
      <c r="B256" t="s">
        <v>1188</v>
      </c>
      <c r="C256" s="23" t="s">
        <v>515</v>
      </c>
      <c r="D256" t="str">
        <f>Objects!C267</f>
        <v>NATIONALGRID_01</v>
      </c>
    </row>
    <row r="257" spans="1:4" x14ac:dyDescent="0.25">
      <c r="C257" s="23" t="s">
        <v>516</v>
      </c>
      <c r="D257" t="str">
        <f>Objects!C268</f>
        <v>NATIONALGRID_02</v>
      </c>
    </row>
    <row r="258" spans="1:4" x14ac:dyDescent="0.25">
      <c r="C258" s="23" t="s">
        <v>517</v>
      </c>
      <c r="D258" t="str">
        <f>Objects!C269</f>
        <v>NATIONALGRID_03</v>
      </c>
    </row>
    <row r="259" spans="1:4" x14ac:dyDescent="0.25">
      <c r="C259" s="23" t="s">
        <v>518</v>
      </c>
      <c r="D259" t="str">
        <f>Objects!C270</f>
        <v>NATIONALGRID_04</v>
      </c>
    </row>
    <row r="260" spans="1:4" x14ac:dyDescent="0.25">
      <c r="C260" s="23" t="s">
        <v>519</v>
      </c>
      <c r="D260" t="str">
        <f>Objects!C271</f>
        <v>NATIONALGRID_05</v>
      </c>
    </row>
    <row r="261" spans="1:4" x14ac:dyDescent="0.25">
      <c r="C261" s="23" t="s">
        <v>520</v>
      </c>
      <c r="D261" t="str">
        <f>Objects!C272</f>
        <v>NATIONALGRID_06</v>
      </c>
    </row>
    <row r="262" spans="1:4" x14ac:dyDescent="0.25">
      <c r="C262" s="23" t="s">
        <v>521</v>
      </c>
      <c r="D262" t="str">
        <f>Objects!C273</f>
        <v>NATIONALGRID_07</v>
      </c>
    </row>
    <row r="263" spans="1:4" x14ac:dyDescent="0.25">
      <c r="C263" s="23" t="s">
        <v>522</v>
      </c>
      <c r="D263" t="str">
        <f>Objects!C274</f>
        <v>NATIONALGRID_08</v>
      </c>
    </row>
    <row r="265" spans="1:4" x14ac:dyDescent="0.25">
      <c r="A265" s="23" t="s">
        <v>336</v>
      </c>
      <c r="B265" t="s">
        <v>1187</v>
      </c>
      <c r="C265" s="23" t="s">
        <v>523</v>
      </c>
      <c r="D265" t="str">
        <f>Objects!C290</f>
        <v>RCI_01</v>
      </c>
    </row>
    <row r="266" spans="1:4" x14ac:dyDescent="0.25">
      <c r="C266" s="23" t="s">
        <v>524</v>
      </c>
      <c r="D266" t="str">
        <f>Objects!C291</f>
        <v>RCI_02</v>
      </c>
    </row>
    <row r="267" spans="1:4" x14ac:dyDescent="0.25">
      <c r="C267" s="23" t="s">
        <v>525</v>
      </c>
      <c r="D267" t="str">
        <f>Objects!C292</f>
        <v>RCI_03</v>
      </c>
    </row>
    <row r="268" spans="1:4" x14ac:dyDescent="0.25">
      <c r="C268" s="23" t="s">
        <v>526</v>
      </c>
      <c r="D268" t="str">
        <f>Objects!C293</f>
        <v>RCI_04</v>
      </c>
    </row>
    <row r="269" spans="1:4" x14ac:dyDescent="0.25">
      <c r="C269" s="23" t="s">
        <v>527</v>
      </c>
      <c r="D269" t="str">
        <f>Objects!C82</f>
        <v>RCI_05</v>
      </c>
    </row>
    <row r="270" spans="1:4" x14ac:dyDescent="0.25">
      <c r="C270" s="23" t="s">
        <v>528</v>
      </c>
      <c r="D270" t="str">
        <f>Objects!C83</f>
        <v>RCI_06</v>
      </c>
    </row>
    <row r="271" spans="1:4" x14ac:dyDescent="0.25">
      <c r="C271" s="23" t="s">
        <v>529</v>
      </c>
      <c r="D271" t="str">
        <f>Objects!C84</f>
        <v>RCI_07</v>
      </c>
    </row>
    <row r="272" spans="1:4" x14ac:dyDescent="0.25">
      <c r="D272" t="str">
        <f>Objects!C294</f>
        <v>RCI_08</v>
      </c>
    </row>
    <row r="274" spans="1:5" x14ac:dyDescent="0.25">
      <c r="A274" s="23" t="s">
        <v>26</v>
      </c>
      <c r="B274" t="s">
        <v>1813</v>
      </c>
      <c r="C274" s="32" t="s">
        <v>1204</v>
      </c>
      <c r="D274" s="5" t="str">
        <f>Objects!C25</f>
        <v>IOP_WAN</v>
      </c>
      <c r="E274" s="5" t="s">
        <v>1848</v>
      </c>
    </row>
    <row r="275" spans="1:5" x14ac:dyDescent="0.25">
      <c r="C275" s="23" t="s">
        <v>1203</v>
      </c>
      <c r="D275" t="str">
        <f>Objects!C26</f>
        <v>IOS_WAN</v>
      </c>
    </row>
    <row r="276" spans="1:5" x14ac:dyDescent="0.25">
      <c r="C276" s="23" t="s">
        <v>321</v>
      </c>
      <c r="D276" t="str">
        <f>B5</f>
        <v>GXS_Users</v>
      </c>
    </row>
    <row r="277" spans="1:5" x14ac:dyDescent="0.25">
      <c r="C277" s="23" t="s">
        <v>332</v>
      </c>
      <c r="D277" t="str">
        <f>B230</f>
        <v>PGE_Users</v>
      </c>
    </row>
    <row r="278" spans="1:5" x14ac:dyDescent="0.25">
      <c r="C278" s="23" t="s">
        <v>333</v>
      </c>
      <c r="D278" t="str">
        <f>B237</f>
        <v>SCE_Users</v>
      </c>
    </row>
    <row r="279" spans="1:5" x14ac:dyDescent="0.25">
      <c r="C279" s="23" t="s">
        <v>1205</v>
      </c>
      <c r="E279" t="s">
        <v>1224</v>
      </c>
    </row>
    <row r="280" spans="1:5" x14ac:dyDescent="0.25">
      <c r="C280" s="23" t="s">
        <v>326</v>
      </c>
      <c r="D280" t="str">
        <f>B157</f>
        <v>GERC_Users</v>
      </c>
    </row>
    <row r="281" spans="1:5" x14ac:dyDescent="0.25">
      <c r="C281" s="23" t="s">
        <v>327</v>
      </c>
      <c r="D281" t="str">
        <f>B160</f>
        <v>Sempra_Users</v>
      </c>
    </row>
    <row r="282" spans="1:5" x14ac:dyDescent="0.25">
      <c r="C282" s="23" t="s">
        <v>328</v>
      </c>
      <c r="D282" t="str">
        <f>B169</f>
        <v>PSEG_Users</v>
      </c>
    </row>
    <row r="283" spans="1:5" x14ac:dyDescent="0.25">
      <c r="C283" s="23" t="s">
        <v>329</v>
      </c>
      <c r="D283" t="str">
        <f>B219</f>
        <v>BPW_Users</v>
      </c>
    </row>
    <row r="284" spans="1:5" x14ac:dyDescent="0.25">
      <c r="C284" s="23" t="s">
        <v>330</v>
      </c>
      <c r="D284" t="str">
        <f>B222</f>
        <v>Sundance_Users</v>
      </c>
    </row>
    <row r="285" spans="1:5" x14ac:dyDescent="0.25">
      <c r="C285" s="23" t="s">
        <v>334</v>
      </c>
      <c r="D285" t="str">
        <f>B251</f>
        <v>WellsFargo_Users</v>
      </c>
    </row>
    <row r="286" spans="1:5" x14ac:dyDescent="0.25">
      <c r="C286" s="23" t="s">
        <v>331</v>
      </c>
      <c r="D286" t="str">
        <f>B227</f>
        <v>Tricom_Users</v>
      </c>
    </row>
    <row r="287" spans="1:5" x14ac:dyDescent="0.25">
      <c r="C287" s="23" t="s">
        <v>1233</v>
      </c>
      <c r="D287" t="str">
        <f>Objects!C3</f>
        <v>CSC_COX</v>
      </c>
    </row>
    <row r="288" spans="1:5" x14ac:dyDescent="0.25">
      <c r="C288" s="23" t="s">
        <v>1234</v>
      </c>
      <c r="D288" s="5" t="str">
        <f>B732</f>
        <v>USCredit_Users</v>
      </c>
    </row>
    <row r="289" spans="1:5" x14ac:dyDescent="0.25">
      <c r="C289" s="23" t="s">
        <v>335</v>
      </c>
      <c r="D289" t="str">
        <f>B256</f>
        <v>NationalGrid_Users</v>
      </c>
    </row>
    <row r="290" spans="1:5" x14ac:dyDescent="0.25">
      <c r="C290" s="23" t="s">
        <v>535</v>
      </c>
      <c r="D290" s="5"/>
      <c r="E290" t="s">
        <v>259</v>
      </c>
    </row>
    <row r="291" spans="1:5" x14ac:dyDescent="0.25">
      <c r="C291" s="23" t="s">
        <v>536</v>
      </c>
      <c r="D291" s="5"/>
      <c r="E291" t="s">
        <v>259</v>
      </c>
    </row>
    <row r="292" spans="1:5" x14ac:dyDescent="0.25">
      <c r="C292" s="23" t="s">
        <v>537</v>
      </c>
      <c r="E292" t="s">
        <v>1847</v>
      </c>
    </row>
    <row r="293" spans="1:5" x14ac:dyDescent="0.25">
      <c r="C293" s="23" t="s">
        <v>538</v>
      </c>
      <c r="D293" t="str">
        <f>B681</f>
        <v>DZBank_Users</v>
      </c>
    </row>
    <row r="294" spans="1:5" x14ac:dyDescent="0.25">
      <c r="C294" s="23" t="s">
        <v>539</v>
      </c>
      <c r="E294" t="s">
        <v>1846</v>
      </c>
    </row>
    <row r="295" spans="1:5" x14ac:dyDescent="0.25">
      <c r="C295" s="23" t="s">
        <v>1172</v>
      </c>
      <c r="D295" t="str">
        <f>B265</f>
        <v>RCI_Users</v>
      </c>
    </row>
    <row r="296" spans="1:5" x14ac:dyDescent="0.25">
      <c r="C296" s="23" t="s">
        <v>540</v>
      </c>
      <c r="D296" s="5" t="str">
        <f>B730</f>
        <v>MeadowLake_Users</v>
      </c>
    </row>
    <row r="297" spans="1:5" x14ac:dyDescent="0.25">
      <c r="D297" s="5" t="str">
        <f>B728</f>
        <v>USBank_Users</v>
      </c>
    </row>
    <row r="299" spans="1:5" x14ac:dyDescent="0.25">
      <c r="A299" s="23" t="s">
        <v>80</v>
      </c>
      <c r="C299" s="23" t="s">
        <v>396</v>
      </c>
    </row>
    <row r="300" spans="1:5" x14ac:dyDescent="0.25">
      <c r="C300" s="23" t="s">
        <v>398</v>
      </c>
    </row>
    <row r="301" spans="1:5" x14ac:dyDescent="0.25">
      <c r="C301" s="23" t="s">
        <v>399</v>
      </c>
    </row>
    <row r="302" spans="1:5" x14ac:dyDescent="0.25">
      <c r="C302" s="23" t="s">
        <v>475</v>
      </c>
    </row>
    <row r="303" spans="1:5" x14ac:dyDescent="0.25">
      <c r="C303" s="23" t="s">
        <v>388</v>
      </c>
    </row>
    <row r="304" spans="1:5" x14ac:dyDescent="0.25">
      <c r="C304" s="23" t="s">
        <v>451</v>
      </c>
    </row>
    <row r="305" spans="3:3" x14ac:dyDescent="0.25">
      <c r="C305" s="23" t="s">
        <v>404</v>
      </c>
    </row>
    <row r="306" spans="3:3" x14ac:dyDescent="0.25">
      <c r="C306" s="23" t="s">
        <v>450</v>
      </c>
    </row>
    <row r="307" spans="3:3" x14ac:dyDescent="0.25">
      <c r="C307" s="23" t="s">
        <v>412</v>
      </c>
    </row>
    <row r="308" spans="3:3" x14ac:dyDescent="0.25">
      <c r="C308" s="23" t="s">
        <v>452</v>
      </c>
    </row>
    <row r="309" spans="3:3" x14ac:dyDescent="0.25">
      <c r="C309" s="23" t="s">
        <v>473</v>
      </c>
    </row>
    <row r="310" spans="3:3" x14ac:dyDescent="0.25">
      <c r="C310" s="23" t="s">
        <v>478</v>
      </c>
    </row>
    <row r="311" spans="3:3" x14ac:dyDescent="0.25">
      <c r="C311" s="23" t="s">
        <v>397</v>
      </c>
    </row>
    <row r="312" spans="3:3" x14ac:dyDescent="0.25">
      <c r="C312" s="23" t="s">
        <v>454</v>
      </c>
    </row>
    <row r="313" spans="3:3" x14ac:dyDescent="0.25">
      <c r="C313" s="23" t="s">
        <v>541</v>
      </c>
    </row>
    <row r="314" spans="3:3" x14ac:dyDescent="0.25">
      <c r="C314" s="23" t="s">
        <v>481</v>
      </c>
    </row>
    <row r="315" spans="3:3" x14ac:dyDescent="0.25">
      <c r="C315" s="23" t="s">
        <v>421</v>
      </c>
    </row>
    <row r="316" spans="3:3" x14ac:dyDescent="0.25">
      <c r="C316" s="23" t="s">
        <v>455</v>
      </c>
    </row>
    <row r="317" spans="3:3" x14ac:dyDescent="0.25">
      <c r="C317" s="23" t="s">
        <v>427</v>
      </c>
    </row>
    <row r="318" spans="3:3" x14ac:dyDescent="0.25">
      <c r="C318" s="23" t="s">
        <v>464</v>
      </c>
    </row>
    <row r="319" spans="3:3" x14ac:dyDescent="0.25">
      <c r="C319" s="23" t="s">
        <v>429</v>
      </c>
    </row>
    <row r="320" spans="3:3" x14ac:dyDescent="0.25">
      <c r="C320" s="23" t="s">
        <v>488</v>
      </c>
    </row>
    <row r="322" spans="1:3" x14ac:dyDescent="0.25">
      <c r="A322" s="23" t="s">
        <v>337</v>
      </c>
      <c r="C322" s="23" t="s">
        <v>396</v>
      </c>
    </row>
    <row r="323" spans="1:3" x14ac:dyDescent="0.25">
      <c r="C323" s="23" t="s">
        <v>397</v>
      </c>
    </row>
    <row r="324" spans="1:3" x14ac:dyDescent="0.25">
      <c r="C324" s="23" t="s">
        <v>398</v>
      </c>
    </row>
    <row r="325" spans="1:3" x14ac:dyDescent="0.25">
      <c r="C325" s="23" t="s">
        <v>399</v>
      </c>
    </row>
    <row r="326" spans="1:3" x14ac:dyDescent="0.25">
      <c r="C326" s="23" t="s">
        <v>404</v>
      </c>
    </row>
    <row r="327" spans="1:3" x14ac:dyDescent="0.25">
      <c r="C327" s="23" t="s">
        <v>450</v>
      </c>
    </row>
    <row r="328" spans="1:3" x14ac:dyDescent="0.25">
      <c r="C328" s="23" t="s">
        <v>412</v>
      </c>
    </row>
    <row r="329" spans="1:3" x14ac:dyDescent="0.25">
      <c r="C329" s="23" t="s">
        <v>478</v>
      </c>
    </row>
    <row r="330" spans="1:3" x14ac:dyDescent="0.25">
      <c r="C330" s="23" t="s">
        <v>454</v>
      </c>
    </row>
    <row r="331" spans="1:3" x14ac:dyDescent="0.25">
      <c r="C331" s="23" t="s">
        <v>427</v>
      </c>
    </row>
    <row r="332" spans="1:3" x14ac:dyDescent="0.25">
      <c r="C332" s="23" t="s">
        <v>464</v>
      </c>
    </row>
    <row r="333" spans="1:3" x14ac:dyDescent="0.25">
      <c r="C333" s="23" t="s">
        <v>429</v>
      </c>
    </row>
    <row r="334" spans="1:3" x14ac:dyDescent="0.25">
      <c r="C334" s="23" t="s">
        <v>473</v>
      </c>
    </row>
    <row r="335" spans="1:3" x14ac:dyDescent="0.25">
      <c r="C335" s="23" t="s">
        <v>488</v>
      </c>
    </row>
    <row r="337" spans="1:3" x14ac:dyDescent="0.25">
      <c r="A337" s="23" t="s">
        <v>201</v>
      </c>
      <c r="C337" s="23" t="s">
        <v>417</v>
      </c>
    </row>
    <row r="338" spans="1:3" x14ac:dyDescent="0.25">
      <c r="C338" s="23" t="s">
        <v>408</v>
      </c>
    </row>
    <row r="339" spans="1:3" x14ac:dyDescent="0.25">
      <c r="C339" s="23" t="s">
        <v>424</v>
      </c>
    </row>
    <row r="340" spans="1:3" x14ac:dyDescent="0.25">
      <c r="C340" s="23" t="s">
        <v>418</v>
      </c>
    </row>
    <row r="341" spans="1:3" x14ac:dyDescent="0.25">
      <c r="C341" s="23" t="s">
        <v>453</v>
      </c>
    </row>
    <row r="342" spans="1:3" x14ac:dyDescent="0.25">
      <c r="C342" s="23" t="s">
        <v>416</v>
      </c>
    </row>
    <row r="344" spans="1:3" x14ac:dyDescent="0.25">
      <c r="A344" s="23" t="s">
        <v>88</v>
      </c>
      <c r="C344" s="23" t="s">
        <v>388</v>
      </c>
    </row>
    <row r="345" spans="1:3" x14ac:dyDescent="0.25">
      <c r="C345" s="23" t="s">
        <v>476</v>
      </c>
    </row>
    <row r="347" spans="1:3" x14ac:dyDescent="0.25">
      <c r="A347" s="23" t="s">
        <v>69</v>
      </c>
      <c r="C347" s="23" t="s">
        <v>475</v>
      </c>
    </row>
    <row r="348" spans="1:3" x14ac:dyDescent="0.25">
      <c r="C348" s="23" t="s">
        <v>388</v>
      </c>
    </row>
    <row r="349" spans="1:3" x14ac:dyDescent="0.25">
      <c r="C349" s="23" t="s">
        <v>1169</v>
      </c>
    </row>
    <row r="350" spans="1:3" x14ac:dyDescent="0.25">
      <c r="C350" s="23" t="s">
        <v>404</v>
      </c>
    </row>
    <row r="351" spans="1:3" x14ac:dyDescent="0.25">
      <c r="C351" s="23" t="s">
        <v>473</v>
      </c>
    </row>
    <row r="352" spans="1:3" x14ac:dyDescent="0.25">
      <c r="C352" s="23" t="s">
        <v>453</v>
      </c>
    </row>
    <row r="353" spans="1:4" x14ac:dyDescent="0.25">
      <c r="C353" s="23" t="s">
        <v>542</v>
      </c>
    </row>
    <row r="354" spans="1:4" x14ac:dyDescent="0.25">
      <c r="C354" s="23" t="s">
        <v>421</v>
      </c>
    </row>
    <row r="355" spans="1:4" x14ac:dyDescent="0.25">
      <c r="C355" s="23" t="s">
        <v>472</v>
      </c>
    </row>
    <row r="357" spans="1:4" x14ac:dyDescent="0.25">
      <c r="A357" s="23" t="s">
        <v>338</v>
      </c>
      <c r="C357" s="23" t="s">
        <v>543</v>
      </c>
    </row>
    <row r="358" spans="1:4" x14ac:dyDescent="0.25">
      <c r="C358" s="23" t="s">
        <v>544</v>
      </c>
    </row>
    <row r="360" spans="1:4" x14ac:dyDescent="0.25">
      <c r="A360" s="23" t="s">
        <v>339</v>
      </c>
      <c r="B360" t="s">
        <v>1249</v>
      </c>
      <c r="C360" s="23" t="s">
        <v>545</v>
      </c>
      <c r="D360" t="str">
        <f>Objects!C20</f>
        <v>Summerbay_01</v>
      </c>
    </row>
    <row r="362" spans="1:4" x14ac:dyDescent="0.25">
      <c r="A362" s="23" t="s">
        <v>340</v>
      </c>
      <c r="B362" t="s">
        <v>1583</v>
      </c>
      <c r="C362" s="23" t="s">
        <v>546</v>
      </c>
      <c r="D362" t="str">
        <f>Objects!C256</f>
        <v>Google_DNS_01</v>
      </c>
    </row>
    <row r="363" spans="1:4" x14ac:dyDescent="0.25">
      <c r="C363" s="23" t="s">
        <v>547</v>
      </c>
      <c r="D363" t="str">
        <f>Objects!C257</f>
        <v>Google_DNS_02</v>
      </c>
    </row>
    <row r="364" spans="1:4" x14ac:dyDescent="0.25">
      <c r="C364" s="23" t="s">
        <v>548</v>
      </c>
      <c r="D364" t="str">
        <f>Objects!C277</f>
        <v>OpenDNS_01</v>
      </c>
    </row>
    <row r="365" spans="1:4" x14ac:dyDescent="0.25">
      <c r="D365" s="5" t="str">
        <f>Objects!C278</f>
        <v>OpenDNS_02</v>
      </c>
    </row>
    <row r="367" spans="1:4" x14ac:dyDescent="0.25">
      <c r="A367" s="23" t="s">
        <v>84</v>
      </c>
      <c r="C367" s="23" t="s">
        <v>1169</v>
      </c>
    </row>
    <row r="368" spans="1:4" x14ac:dyDescent="0.25">
      <c r="C368" s="23" t="s">
        <v>475</v>
      </c>
    </row>
    <row r="369" spans="3:3" x14ac:dyDescent="0.25">
      <c r="C369" s="23" t="s">
        <v>405</v>
      </c>
    </row>
    <row r="370" spans="3:3" x14ac:dyDescent="0.25">
      <c r="C370" s="23" t="s">
        <v>428</v>
      </c>
    </row>
    <row r="371" spans="3:3" x14ac:dyDescent="0.25">
      <c r="C371" s="23" t="s">
        <v>549</v>
      </c>
    </row>
    <row r="372" spans="3:3" x14ac:dyDescent="0.25">
      <c r="C372" s="23" t="s">
        <v>407</v>
      </c>
    </row>
    <row r="373" spans="3:3" x14ac:dyDescent="0.25">
      <c r="C373" s="23" t="s">
        <v>408</v>
      </c>
    </row>
    <row r="374" spans="3:3" x14ac:dyDescent="0.25">
      <c r="C374" s="23" t="s">
        <v>477</v>
      </c>
    </row>
    <row r="375" spans="3:3" x14ac:dyDescent="0.25">
      <c r="C375" s="23" t="s">
        <v>480</v>
      </c>
    </row>
    <row r="376" spans="3:3" x14ac:dyDescent="0.25">
      <c r="C376" s="23" t="s">
        <v>418</v>
      </c>
    </row>
    <row r="377" spans="3:3" x14ac:dyDescent="0.25">
      <c r="C377" s="23" t="s">
        <v>473</v>
      </c>
    </row>
    <row r="378" spans="3:3" x14ac:dyDescent="0.25">
      <c r="C378" s="23" t="s">
        <v>478</v>
      </c>
    </row>
    <row r="379" spans="3:3" x14ac:dyDescent="0.25">
      <c r="C379" s="23" t="s">
        <v>453</v>
      </c>
    </row>
    <row r="380" spans="3:3" x14ac:dyDescent="0.25">
      <c r="C380" s="23" t="s">
        <v>386</v>
      </c>
    </row>
    <row r="381" spans="3:3" x14ac:dyDescent="0.25">
      <c r="C381" s="23" t="s">
        <v>550</v>
      </c>
    </row>
    <row r="382" spans="3:3" x14ac:dyDescent="0.25">
      <c r="C382" s="23" t="s">
        <v>454</v>
      </c>
    </row>
    <row r="383" spans="3:3" x14ac:dyDescent="0.25">
      <c r="C383" s="23" t="s">
        <v>388</v>
      </c>
    </row>
    <row r="384" spans="3:3" x14ac:dyDescent="0.25">
      <c r="C384" s="23" t="s">
        <v>551</v>
      </c>
    </row>
    <row r="385" spans="3:3" x14ac:dyDescent="0.25">
      <c r="C385" s="23" t="s">
        <v>411</v>
      </c>
    </row>
    <row r="386" spans="3:3" x14ac:dyDescent="0.25">
      <c r="C386" s="23" t="s">
        <v>396</v>
      </c>
    </row>
    <row r="387" spans="3:3" x14ac:dyDescent="0.25">
      <c r="C387" s="23" t="s">
        <v>397</v>
      </c>
    </row>
    <row r="388" spans="3:3" x14ac:dyDescent="0.25">
      <c r="C388" s="23" t="s">
        <v>398</v>
      </c>
    </row>
    <row r="389" spans="3:3" x14ac:dyDescent="0.25">
      <c r="C389" s="23" t="s">
        <v>417</v>
      </c>
    </row>
    <row r="390" spans="3:3" x14ac:dyDescent="0.25">
      <c r="C390" s="23" t="s">
        <v>399</v>
      </c>
    </row>
    <row r="391" spans="3:3" x14ac:dyDescent="0.25">
      <c r="C391" s="23" t="s">
        <v>403</v>
      </c>
    </row>
    <row r="392" spans="3:3" x14ac:dyDescent="0.25">
      <c r="C392" s="23" t="s">
        <v>552</v>
      </c>
    </row>
    <row r="393" spans="3:3" x14ac:dyDescent="0.25">
      <c r="C393" s="23" t="s">
        <v>456</v>
      </c>
    </row>
    <row r="394" spans="3:3" x14ac:dyDescent="0.25">
      <c r="C394" s="23" t="s">
        <v>553</v>
      </c>
    </row>
    <row r="395" spans="3:3" x14ac:dyDescent="0.25">
      <c r="C395" s="23" t="s">
        <v>412</v>
      </c>
    </row>
    <row r="396" spans="3:3" x14ac:dyDescent="0.25">
      <c r="C396" s="23" t="s">
        <v>455</v>
      </c>
    </row>
    <row r="397" spans="3:3" x14ac:dyDescent="0.25">
      <c r="C397" s="23" t="s">
        <v>452</v>
      </c>
    </row>
    <row r="398" spans="3:3" x14ac:dyDescent="0.25">
      <c r="C398" s="23" t="s">
        <v>457</v>
      </c>
    </row>
    <row r="399" spans="3:3" x14ac:dyDescent="0.25">
      <c r="C399" s="23" t="s">
        <v>446</v>
      </c>
    </row>
    <row r="400" spans="3:3" x14ac:dyDescent="0.25">
      <c r="C400" s="23" t="s">
        <v>400</v>
      </c>
    </row>
    <row r="401" spans="1:3" x14ac:dyDescent="0.25">
      <c r="C401" s="23" t="s">
        <v>416</v>
      </c>
    </row>
    <row r="402" spans="1:3" x14ac:dyDescent="0.25">
      <c r="C402" s="23" t="s">
        <v>426</v>
      </c>
    </row>
    <row r="403" spans="1:3" x14ac:dyDescent="0.25">
      <c r="C403" s="23" t="s">
        <v>427</v>
      </c>
    </row>
    <row r="404" spans="1:3" x14ac:dyDescent="0.25">
      <c r="C404" s="23" t="s">
        <v>554</v>
      </c>
    </row>
    <row r="405" spans="1:3" x14ac:dyDescent="0.25">
      <c r="C405" s="23" t="s">
        <v>555</v>
      </c>
    </row>
    <row r="406" spans="1:3" x14ac:dyDescent="0.25">
      <c r="C406" s="23" t="s">
        <v>488</v>
      </c>
    </row>
    <row r="408" spans="1:3" x14ac:dyDescent="0.25">
      <c r="A408" s="23" t="s">
        <v>73</v>
      </c>
      <c r="C408" s="23" t="s">
        <v>1169</v>
      </c>
    </row>
    <row r="409" spans="1:3" x14ac:dyDescent="0.25">
      <c r="C409" s="23" t="s">
        <v>388</v>
      </c>
    </row>
    <row r="410" spans="1:3" x14ac:dyDescent="0.25">
      <c r="C410" s="23" t="s">
        <v>404</v>
      </c>
    </row>
    <row r="411" spans="1:3" x14ac:dyDescent="0.25">
      <c r="C411" s="23" t="s">
        <v>472</v>
      </c>
    </row>
    <row r="412" spans="1:3" x14ac:dyDescent="0.25">
      <c r="C412" s="23" t="s">
        <v>473</v>
      </c>
    </row>
    <row r="414" spans="1:3" x14ac:dyDescent="0.25">
      <c r="A414" s="23" t="s">
        <v>341</v>
      </c>
      <c r="C414" s="23" t="s">
        <v>556</v>
      </c>
    </row>
    <row r="415" spans="1:3" x14ac:dyDescent="0.25">
      <c r="C415" s="23" t="s">
        <v>557</v>
      </c>
    </row>
    <row r="417" spans="1:4" x14ac:dyDescent="0.25">
      <c r="A417" s="23" t="s">
        <v>342</v>
      </c>
      <c r="C417" s="23" t="s">
        <v>558</v>
      </c>
    </row>
    <row r="418" spans="1:4" x14ac:dyDescent="0.25">
      <c r="C418" s="23" t="s">
        <v>559</v>
      </c>
    </row>
    <row r="419" spans="1:4" x14ac:dyDescent="0.25">
      <c r="C419" s="23" t="s">
        <v>560</v>
      </c>
    </row>
    <row r="420" spans="1:4" x14ac:dyDescent="0.25">
      <c r="C420" s="23" t="s">
        <v>561</v>
      </c>
    </row>
    <row r="422" spans="1:4" x14ac:dyDescent="0.25">
      <c r="A422" s="23" t="s">
        <v>18</v>
      </c>
      <c r="B422" t="s">
        <v>1248</v>
      </c>
      <c r="C422" s="23" t="s">
        <v>562</v>
      </c>
      <c r="D422" t="str">
        <f>Objects!C72</f>
        <v>Incapsula_01</v>
      </c>
    </row>
    <row r="423" spans="1:4" x14ac:dyDescent="0.25">
      <c r="C423" s="23" t="s">
        <v>563</v>
      </c>
      <c r="D423" t="str">
        <f>Objects!C73</f>
        <v>Incapsula_02</v>
      </c>
    </row>
    <row r="424" spans="1:4" x14ac:dyDescent="0.25">
      <c r="C424" s="23" t="s">
        <v>564</v>
      </c>
      <c r="D424" t="str">
        <f>Objects!C74</f>
        <v>Incapsula_03</v>
      </c>
    </row>
    <row r="425" spans="1:4" x14ac:dyDescent="0.25">
      <c r="C425" s="23" t="s">
        <v>565</v>
      </c>
      <c r="D425" t="str">
        <f>Objects!C75</f>
        <v>Incapsula_04</v>
      </c>
    </row>
    <row r="426" spans="1:4" x14ac:dyDescent="0.25">
      <c r="C426" s="23" t="s">
        <v>566</v>
      </c>
      <c r="D426" t="str">
        <f>Objects!C76</f>
        <v>Incapsula_05</v>
      </c>
    </row>
    <row r="427" spans="1:4" x14ac:dyDescent="0.25">
      <c r="C427" s="23" t="s">
        <v>567</v>
      </c>
      <c r="D427" t="str">
        <f>Objects!C77</f>
        <v>Incapsula_06</v>
      </c>
    </row>
    <row r="428" spans="1:4" x14ac:dyDescent="0.25">
      <c r="C428" s="23" t="s">
        <v>568</v>
      </c>
      <c r="D428" t="str">
        <f>Objects!C78</f>
        <v>Incapsula_07</v>
      </c>
    </row>
    <row r="429" spans="1:4" x14ac:dyDescent="0.25">
      <c r="C429" s="23" t="s">
        <v>569</v>
      </c>
      <c r="D429" t="str">
        <f>Objects!C79</f>
        <v>Incapsula_08</v>
      </c>
    </row>
    <row r="430" spans="1:4" x14ac:dyDescent="0.25">
      <c r="C430" s="23" t="s">
        <v>571</v>
      </c>
      <c r="D430" t="str">
        <f>Objects!C80</f>
        <v>Incapsula_09</v>
      </c>
    </row>
    <row r="431" spans="1:4" x14ac:dyDescent="0.25">
      <c r="C431" s="23" t="s">
        <v>570</v>
      </c>
      <c r="D431" t="str">
        <f>Objects!C81</f>
        <v>Incapsula_10</v>
      </c>
    </row>
    <row r="433" spans="1:4" x14ac:dyDescent="0.25">
      <c r="A433" s="23" t="s">
        <v>343</v>
      </c>
      <c r="C433" s="23" t="s">
        <v>572</v>
      </c>
    </row>
    <row r="434" spans="1:4" x14ac:dyDescent="0.25">
      <c r="C434" s="23" t="s">
        <v>573</v>
      </c>
    </row>
    <row r="436" spans="1:4" x14ac:dyDescent="0.25">
      <c r="A436" s="23" t="s">
        <v>52</v>
      </c>
      <c r="B436" t="s">
        <v>1611</v>
      </c>
      <c r="D436" t="str">
        <f>Objects!C229</f>
        <v>RABBITMQ1</v>
      </c>
    </row>
    <row r="437" spans="1:4" x14ac:dyDescent="0.25">
      <c r="C437" s="23" t="s">
        <v>574</v>
      </c>
    </row>
    <row r="438" spans="1:4" x14ac:dyDescent="0.25">
      <c r="C438" s="23" t="s">
        <v>575</v>
      </c>
    </row>
    <row r="440" spans="1:4" x14ac:dyDescent="0.25">
      <c r="A440" s="23" t="s">
        <v>344</v>
      </c>
      <c r="C440" s="23" t="s">
        <v>396</v>
      </c>
    </row>
    <row r="441" spans="1:4" x14ac:dyDescent="0.25">
      <c r="C441" s="23" t="s">
        <v>398</v>
      </c>
    </row>
    <row r="442" spans="1:4" x14ac:dyDescent="0.25">
      <c r="C442" s="23" t="s">
        <v>552</v>
      </c>
    </row>
    <row r="443" spans="1:4" x14ac:dyDescent="0.25">
      <c r="C443" s="23" t="s">
        <v>412</v>
      </c>
    </row>
    <row r="444" spans="1:4" x14ac:dyDescent="0.25">
      <c r="C444" s="23" t="s">
        <v>417</v>
      </c>
    </row>
    <row r="445" spans="1:4" x14ac:dyDescent="0.25">
      <c r="C445" s="23" t="s">
        <v>419</v>
      </c>
    </row>
    <row r="446" spans="1:4" x14ac:dyDescent="0.25">
      <c r="C446" s="23" t="s">
        <v>429</v>
      </c>
    </row>
    <row r="448" spans="1:4" x14ac:dyDescent="0.25">
      <c r="A448" s="23" t="s">
        <v>345</v>
      </c>
      <c r="C448" s="23" t="s">
        <v>397</v>
      </c>
    </row>
    <row r="449" spans="1:3" x14ac:dyDescent="0.25">
      <c r="C449" s="23" t="s">
        <v>399</v>
      </c>
    </row>
    <row r="450" spans="1:3" x14ac:dyDescent="0.25">
      <c r="C450" s="23" t="s">
        <v>552</v>
      </c>
    </row>
    <row r="451" spans="1:3" x14ac:dyDescent="0.25">
      <c r="C451" s="23" t="s">
        <v>417</v>
      </c>
    </row>
    <row r="452" spans="1:3" x14ac:dyDescent="0.25">
      <c r="C452" s="23" t="s">
        <v>419</v>
      </c>
    </row>
    <row r="453" spans="1:3" x14ac:dyDescent="0.25">
      <c r="C453" s="23" t="s">
        <v>427</v>
      </c>
    </row>
    <row r="455" spans="1:3" x14ac:dyDescent="0.25">
      <c r="A455" s="23" t="s">
        <v>85</v>
      </c>
      <c r="C455" s="23" t="s">
        <v>447</v>
      </c>
    </row>
    <row r="456" spans="1:3" x14ac:dyDescent="0.25">
      <c r="C456" s="23" t="s">
        <v>576</v>
      </c>
    </row>
    <row r="457" spans="1:3" x14ac:dyDescent="0.25">
      <c r="C457" s="23" t="s">
        <v>417</v>
      </c>
    </row>
    <row r="458" spans="1:3" x14ac:dyDescent="0.25">
      <c r="C458" s="23" t="s">
        <v>400</v>
      </c>
    </row>
    <row r="459" spans="1:3" x14ac:dyDescent="0.25">
      <c r="C459" s="23" t="s">
        <v>387</v>
      </c>
    </row>
    <row r="460" spans="1:3" x14ac:dyDescent="0.25">
      <c r="C460" s="23" t="s">
        <v>423</v>
      </c>
    </row>
    <row r="461" spans="1:3" x14ac:dyDescent="0.25">
      <c r="C461" s="23" t="s">
        <v>414</v>
      </c>
    </row>
    <row r="462" spans="1:3" x14ac:dyDescent="0.25">
      <c r="C462" s="23" t="s">
        <v>440</v>
      </c>
    </row>
    <row r="463" spans="1:3" x14ac:dyDescent="0.25">
      <c r="C463" s="23" t="s">
        <v>406</v>
      </c>
    </row>
    <row r="464" spans="1:3" x14ac:dyDescent="0.25">
      <c r="C464" s="23" t="s">
        <v>441</v>
      </c>
    </row>
    <row r="465" spans="1:3" x14ac:dyDescent="0.25">
      <c r="C465" s="23" t="s">
        <v>424</v>
      </c>
    </row>
    <row r="466" spans="1:3" x14ac:dyDescent="0.25">
      <c r="C466" s="23" t="s">
        <v>416</v>
      </c>
    </row>
    <row r="467" spans="1:3" x14ac:dyDescent="0.25">
      <c r="C467" s="23" t="s">
        <v>577</v>
      </c>
    </row>
    <row r="468" spans="1:3" x14ac:dyDescent="0.25">
      <c r="C468" s="23" t="s">
        <v>578</v>
      </c>
    </row>
    <row r="469" spans="1:3" x14ac:dyDescent="0.25">
      <c r="C469" s="23" t="s">
        <v>579</v>
      </c>
    </row>
    <row r="470" spans="1:3" x14ac:dyDescent="0.25">
      <c r="C470" s="23" t="s">
        <v>580</v>
      </c>
    </row>
    <row r="471" spans="1:3" x14ac:dyDescent="0.25">
      <c r="C471" s="23" t="s">
        <v>581</v>
      </c>
    </row>
    <row r="472" spans="1:3" x14ac:dyDescent="0.25">
      <c r="C472" s="23" t="s">
        <v>582</v>
      </c>
    </row>
    <row r="473" spans="1:3" x14ac:dyDescent="0.25">
      <c r="C473" s="23" t="s">
        <v>583</v>
      </c>
    </row>
    <row r="474" spans="1:3" x14ac:dyDescent="0.25">
      <c r="C474" s="23" t="s">
        <v>461</v>
      </c>
    </row>
    <row r="475" spans="1:3" x14ac:dyDescent="0.25">
      <c r="C475" s="23" t="s">
        <v>584</v>
      </c>
    </row>
    <row r="476" spans="1:3" x14ac:dyDescent="0.25">
      <c r="C476" s="23" t="s">
        <v>585</v>
      </c>
    </row>
    <row r="478" spans="1:3" x14ac:dyDescent="0.25">
      <c r="A478" s="23" t="s">
        <v>346</v>
      </c>
      <c r="C478" s="23" t="s">
        <v>558</v>
      </c>
    </row>
    <row r="479" spans="1:3" x14ac:dyDescent="0.25">
      <c r="C479" s="23" t="s">
        <v>559</v>
      </c>
    </row>
    <row r="480" spans="1:3" x14ac:dyDescent="0.25">
      <c r="C480" s="23" t="s">
        <v>560</v>
      </c>
    </row>
    <row r="481" spans="1:3" x14ac:dyDescent="0.25">
      <c r="C481" s="23" t="s">
        <v>561</v>
      </c>
    </row>
    <row r="483" spans="1:3" x14ac:dyDescent="0.25">
      <c r="A483" s="23" t="s">
        <v>347</v>
      </c>
      <c r="C483" s="23" t="s">
        <v>1173</v>
      </c>
    </row>
    <row r="484" spans="1:3" x14ac:dyDescent="0.25">
      <c r="C484" s="23" t="s">
        <v>1174</v>
      </c>
    </row>
    <row r="485" spans="1:3" x14ac:dyDescent="0.25">
      <c r="C485" s="23" t="s">
        <v>1172</v>
      </c>
    </row>
    <row r="486" spans="1:3" x14ac:dyDescent="0.25">
      <c r="C486" s="23" t="s">
        <v>1171</v>
      </c>
    </row>
    <row r="487" spans="1:3" x14ac:dyDescent="0.25">
      <c r="C487" s="23" t="s">
        <v>586</v>
      </c>
    </row>
    <row r="488" spans="1:3" x14ac:dyDescent="0.25">
      <c r="C488" s="23" t="s">
        <v>587</v>
      </c>
    </row>
    <row r="489" spans="1:3" x14ac:dyDescent="0.25">
      <c r="C489" s="23" t="s">
        <v>588</v>
      </c>
    </row>
    <row r="491" spans="1:3" x14ac:dyDescent="0.25">
      <c r="A491" s="23" t="s">
        <v>101</v>
      </c>
      <c r="C491" s="23" t="s">
        <v>589</v>
      </c>
    </row>
    <row r="492" spans="1:3" x14ac:dyDescent="0.25">
      <c r="C492" s="23" t="s">
        <v>590</v>
      </c>
    </row>
    <row r="493" spans="1:3" x14ac:dyDescent="0.25">
      <c r="C493" s="23" t="s">
        <v>591</v>
      </c>
    </row>
    <row r="495" spans="1:3" x14ac:dyDescent="0.25">
      <c r="A495" s="23" t="s">
        <v>348</v>
      </c>
      <c r="C495" s="23" t="s">
        <v>546</v>
      </c>
    </row>
    <row r="496" spans="1:3" x14ac:dyDescent="0.25">
      <c r="C496" s="23" t="s">
        <v>548</v>
      </c>
    </row>
    <row r="498" spans="1:3" x14ac:dyDescent="0.25">
      <c r="A498" s="23" t="s">
        <v>349</v>
      </c>
      <c r="C498" s="23" t="s">
        <v>530</v>
      </c>
    </row>
    <row r="499" spans="1:3" x14ac:dyDescent="0.25">
      <c r="C499" s="23" t="s">
        <v>531</v>
      </c>
    </row>
    <row r="500" spans="1:3" x14ac:dyDescent="0.25">
      <c r="C500" s="23" t="s">
        <v>592</v>
      </c>
    </row>
    <row r="501" spans="1:3" x14ac:dyDescent="0.25">
      <c r="C501" s="23" t="s">
        <v>593</v>
      </c>
    </row>
    <row r="502" spans="1:3" x14ac:dyDescent="0.25">
      <c r="C502" s="23" t="s">
        <v>533</v>
      </c>
    </row>
    <row r="504" spans="1:3" x14ac:dyDescent="0.25">
      <c r="A504" s="23" t="s">
        <v>350</v>
      </c>
      <c r="C504" s="23" t="s">
        <v>530</v>
      </c>
    </row>
    <row r="505" spans="1:3" x14ac:dyDescent="0.25">
      <c r="C505" s="23" t="s">
        <v>531</v>
      </c>
    </row>
    <row r="506" spans="1:3" x14ac:dyDescent="0.25">
      <c r="C506" s="23" t="s">
        <v>592</v>
      </c>
    </row>
    <row r="507" spans="1:3" x14ac:dyDescent="0.25">
      <c r="C507" s="23" t="s">
        <v>593</v>
      </c>
    </row>
    <row r="508" spans="1:3" x14ac:dyDescent="0.25">
      <c r="C508" s="23" t="s">
        <v>533</v>
      </c>
    </row>
    <row r="510" spans="1:3" x14ac:dyDescent="0.25">
      <c r="A510" s="23" t="s">
        <v>351</v>
      </c>
      <c r="C510" s="23" t="s">
        <v>530</v>
      </c>
    </row>
    <row r="511" spans="1:3" x14ac:dyDescent="0.25">
      <c r="C511" s="23" t="s">
        <v>531</v>
      </c>
    </row>
    <row r="512" spans="1:3" x14ac:dyDescent="0.25">
      <c r="C512" s="23" t="s">
        <v>592</v>
      </c>
    </row>
    <row r="513" spans="1:4" x14ac:dyDescent="0.25">
      <c r="C513" s="23" t="s">
        <v>593</v>
      </c>
    </row>
    <row r="514" spans="1:4" x14ac:dyDescent="0.25">
      <c r="C514" s="23" t="s">
        <v>533</v>
      </c>
    </row>
    <row r="516" spans="1:4" x14ac:dyDescent="0.25">
      <c r="A516" s="23" t="s">
        <v>352</v>
      </c>
      <c r="C516" s="23" t="s">
        <v>533</v>
      </c>
    </row>
    <row r="517" spans="1:4" x14ac:dyDescent="0.25">
      <c r="C517" s="23" t="s">
        <v>530</v>
      </c>
    </row>
    <row r="518" spans="1:4" x14ac:dyDescent="0.25">
      <c r="C518" s="23" t="s">
        <v>531</v>
      </c>
    </row>
    <row r="520" spans="1:4" x14ac:dyDescent="0.25">
      <c r="A520" s="23" t="s">
        <v>353</v>
      </c>
      <c r="B520" t="s">
        <v>1254</v>
      </c>
      <c r="C520" s="23" t="s">
        <v>594</v>
      </c>
      <c r="D520" t="str">
        <f>Objects!C8</f>
        <v>MARRIOTT_01</v>
      </c>
    </row>
    <row r="521" spans="1:4" x14ac:dyDescent="0.25">
      <c r="C521" s="23" t="s">
        <v>597</v>
      </c>
      <c r="D521" t="str">
        <f>Objects!C9</f>
        <v>MARRIOTT_02</v>
      </c>
    </row>
    <row r="522" spans="1:4" x14ac:dyDescent="0.25">
      <c r="C522" s="23" t="s">
        <v>598</v>
      </c>
      <c r="D522" t="str">
        <f>Objects!C10</f>
        <v>MARRIOTT_03</v>
      </c>
    </row>
    <row r="523" spans="1:4" x14ac:dyDescent="0.25">
      <c r="C523" s="23" t="s">
        <v>599</v>
      </c>
      <c r="D523" t="str">
        <f>Objects!C11</f>
        <v>MARRIOTT_04</v>
      </c>
    </row>
    <row r="524" spans="1:4" x14ac:dyDescent="0.25">
      <c r="C524" s="23" t="s">
        <v>600</v>
      </c>
      <c r="D524" t="str">
        <f>Objects!C12</f>
        <v>MARRIOTT_05</v>
      </c>
    </row>
    <row r="525" spans="1:4" x14ac:dyDescent="0.25">
      <c r="C525" s="23" t="s">
        <v>601</v>
      </c>
      <c r="D525" t="str">
        <f>Objects!C13</f>
        <v>MARRIOTT_06</v>
      </c>
    </row>
    <row r="526" spans="1:4" x14ac:dyDescent="0.25">
      <c r="C526" s="23" t="s">
        <v>602</v>
      </c>
      <c r="D526" t="str">
        <f>Objects!C14</f>
        <v>MARRIOTT_07</v>
      </c>
    </row>
    <row r="527" spans="1:4" x14ac:dyDescent="0.25">
      <c r="C527" s="23" t="s">
        <v>603</v>
      </c>
      <c r="D527" t="str">
        <f>Objects!C15</f>
        <v>MARRIOTT_08</v>
      </c>
    </row>
    <row r="528" spans="1:4" x14ac:dyDescent="0.25">
      <c r="C528" s="23" t="s">
        <v>604</v>
      </c>
      <c r="D528" t="str">
        <f>Objects!C15</f>
        <v>MARRIOTT_08</v>
      </c>
    </row>
    <row r="529" spans="1:4" x14ac:dyDescent="0.25">
      <c r="C529" s="23" t="s">
        <v>595</v>
      </c>
      <c r="D529" t="str">
        <f>Objects!C15</f>
        <v>MARRIOTT_08</v>
      </c>
    </row>
    <row r="530" spans="1:4" x14ac:dyDescent="0.25">
      <c r="C530" s="23" t="s">
        <v>596</v>
      </c>
      <c r="D530" t="str">
        <f>Objects!C16</f>
        <v>MARRIOTT_09</v>
      </c>
    </row>
    <row r="531" spans="1:4" x14ac:dyDescent="0.25">
      <c r="C531" s="23" t="s">
        <v>605</v>
      </c>
      <c r="D531" t="str">
        <f>Objects!C17</f>
        <v>MARRIOTT_10</v>
      </c>
    </row>
    <row r="533" spans="1:4" x14ac:dyDescent="0.25">
      <c r="A533" s="23" t="s">
        <v>354</v>
      </c>
      <c r="C533" s="23" t="s">
        <v>533</v>
      </c>
    </row>
    <row r="534" spans="1:4" x14ac:dyDescent="0.25">
      <c r="C534" s="23" t="s">
        <v>530</v>
      </c>
    </row>
    <row r="535" spans="1:4" x14ac:dyDescent="0.25">
      <c r="C535" s="23" t="s">
        <v>531</v>
      </c>
    </row>
    <row r="536" spans="1:4" x14ac:dyDescent="0.25">
      <c r="C536" s="23" t="s">
        <v>1175</v>
      </c>
    </row>
    <row r="538" spans="1:4" x14ac:dyDescent="0.25">
      <c r="A538" s="23" t="s">
        <v>355</v>
      </c>
      <c r="B538" t="s">
        <v>1250</v>
      </c>
      <c r="C538" s="23" t="s">
        <v>606</v>
      </c>
      <c r="D538" t="str">
        <f>Objects!C21</f>
        <v>WELK_01</v>
      </c>
    </row>
    <row r="539" spans="1:4" x14ac:dyDescent="0.25">
      <c r="C539" s="23" t="s">
        <v>607</v>
      </c>
      <c r="D539" t="str">
        <f>Objects!C22</f>
        <v>WELK_TESTSERVER</v>
      </c>
    </row>
    <row r="540" spans="1:4" x14ac:dyDescent="0.25">
      <c r="C540" s="23" t="s">
        <v>608</v>
      </c>
      <c r="D540" t="str">
        <f>Objects!C23</f>
        <v>WELK_02</v>
      </c>
    </row>
    <row r="541" spans="1:4" x14ac:dyDescent="0.25">
      <c r="C541" s="23" t="s">
        <v>609</v>
      </c>
      <c r="D541" t="str">
        <f>Objects!C24</f>
        <v>WELK_WEBSERVICE_IP</v>
      </c>
    </row>
    <row r="543" spans="1:4" x14ac:dyDescent="0.25">
      <c r="A543" s="23" t="s">
        <v>356</v>
      </c>
      <c r="C543" s="23" t="s">
        <v>1176</v>
      </c>
    </row>
    <row r="544" spans="1:4" x14ac:dyDescent="0.25">
      <c r="C544" s="23" t="s">
        <v>1171</v>
      </c>
    </row>
    <row r="545" spans="1:3" x14ac:dyDescent="0.25">
      <c r="C545" s="23" t="s">
        <v>1177</v>
      </c>
    </row>
    <row r="547" spans="1:3" x14ac:dyDescent="0.25">
      <c r="A547" s="23" t="s">
        <v>357</v>
      </c>
      <c r="C547" s="23" t="s">
        <v>546</v>
      </c>
    </row>
    <row r="548" spans="1:3" x14ac:dyDescent="0.25">
      <c r="C548" s="23" t="s">
        <v>548</v>
      </c>
    </row>
    <row r="550" spans="1:3" x14ac:dyDescent="0.25">
      <c r="A550" s="23" t="s">
        <v>358</v>
      </c>
      <c r="C550" s="23" t="s">
        <v>1178</v>
      </c>
    </row>
    <row r="551" spans="1:3" x14ac:dyDescent="0.25">
      <c r="C551" s="23" t="s">
        <v>1169</v>
      </c>
    </row>
    <row r="553" spans="1:3" x14ac:dyDescent="0.25">
      <c r="A553" s="32" t="s">
        <v>197</v>
      </c>
      <c r="C553" s="23" t="s">
        <v>401</v>
      </c>
    </row>
    <row r="554" spans="1:3" x14ac:dyDescent="0.25">
      <c r="C554" s="23" t="s">
        <v>402</v>
      </c>
    </row>
    <row r="555" spans="1:3" x14ac:dyDescent="0.25">
      <c r="C555" s="23" t="s">
        <v>403</v>
      </c>
    </row>
    <row r="556" spans="1:3" x14ac:dyDescent="0.25">
      <c r="C556" s="23" t="s">
        <v>405</v>
      </c>
    </row>
    <row r="557" spans="1:3" x14ac:dyDescent="0.25">
      <c r="C557" s="23" t="s">
        <v>428</v>
      </c>
    </row>
    <row r="558" spans="1:3" x14ac:dyDescent="0.25">
      <c r="C558" s="23" t="s">
        <v>549</v>
      </c>
    </row>
    <row r="559" spans="1:3" x14ac:dyDescent="0.25">
      <c r="C559" s="23" t="s">
        <v>406</v>
      </c>
    </row>
    <row r="560" spans="1:3" x14ac:dyDescent="0.25">
      <c r="C560" s="23" t="s">
        <v>441</v>
      </c>
    </row>
    <row r="561" spans="3:3" x14ac:dyDescent="0.25">
      <c r="C561" s="23" t="s">
        <v>407</v>
      </c>
    </row>
    <row r="562" spans="3:3" x14ac:dyDescent="0.25">
      <c r="C562" s="23" t="s">
        <v>408</v>
      </c>
    </row>
    <row r="563" spans="3:3" x14ac:dyDescent="0.25">
      <c r="C563" s="23" t="s">
        <v>409</v>
      </c>
    </row>
    <row r="564" spans="3:3" x14ac:dyDescent="0.25">
      <c r="C564" s="23" t="s">
        <v>410</v>
      </c>
    </row>
    <row r="565" spans="3:3" x14ac:dyDescent="0.25">
      <c r="C565" s="23" t="s">
        <v>411</v>
      </c>
    </row>
    <row r="566" spans="3:3" x14ac:dyDescent="0.25">
      <c r="C566" s="23" t="s">
        <v>553</v>
      </c>
    </row>
    <row r="567" spans="3:3" x14ac:dyDescent="0.25">
      <c r="C567" s="23" t="s">
        <v>413</v>
      </c>
    </row>
    <row r="568" spans="3:3" x14ac:dyDescent="0.25">
      <c r="C568" s="23" t="s">
        <v>424</v>
      </c>
    </row>
    <row r="569" spans="3:3" x14ac:dyDescent="0.25">
      <c r="C569" s="23" t="s">
        <v>414</v>
      </c>
    </row>
    <row r="570" spans="3:3" x14ac:dyDescent="0.25">
      <c r="C570" s="23" t="s">
        <v>415</v>
      </c>
    </row>
    <row r="571" spans="3:3" x14ac:dyDescent="0.25">
      <c r="C571" s="23" t="s">
        <v>446</v>
      </c>
    </row>
    <row r="572" spans="3:3" x14ac:dyDescent="0.25">
      <c r="C572" s="23" t="s">
        <v>416</v>
      </c>
    </row>
    <row r="573" spans="3:3" x14ac:dyDescent="0.25">
      <c r="C573" s="23" t="s">
        <v>417</v>
      </c>
    </row>
    <row r="574" spans="3:3" x14ac:dyDescent="0.25">
      <c r="C574" s="23" t="s">
        <v>418</v>
      </c>
    </row>
    <row r="575" spans="3:3" x14ac:dyDescent="0.25">
      <c r="C575" s="23" t="s">
        <v>419</v>
      </c>
    </row>
    <row r="576" spans="3:3" x14ac:dyDescent="0.25">
      <c r="C576" s="23" t="s">
        <v>420</v>
      </c>
    </row>
    <row r="577" spans="1:3" x14ac:dyDescent="0.25">
      <c r="C577" s="23" t="s">
        <v>442</v>
      </c>
    </row>
    <row r="578" spans="1:3" x14ac:dyDescent="0.25">
      <c r="C578" s="23" t="s">
        <v>422</v>
      </c>
    </row>
    <row r="579" spans="1:3" x14ac:dyDescent="0.25">
      <c r="C579" s="23" t="s">
        <v>423</v>
      </c>
    </row>
    <row r="580" spans="1:3" x14ac:dyDescent="0.25">
      <c r="C580" s="23" t="s">
        <v>425</v>
      </c>
    </row>
    <row r="581" spans="1:3" x14ac:dyDescent="0.25">
      <c r="C581" s="23" t="s">
        <v>426</v>
      </c>
    </row>
    <row r="583" spans="1:3" x14ac:dyDescent="0.25">
      <c r="A583" s="23" t="s">
        <v>196</v>
      </c>
      <c r="C583" s="23" t="s">
        <v>466</v>
      </c>
    </row>
    <row r="585" spans="1:3" x14ac:dyDescent="0.25">
      <c r="A585" s="23" t="s">
        <v>359</v>
      </c>
      <c r="C585" s="23" t="s">
        <v>1179</v>
      </c>
    </row>
    <row r="586" spans="1:3" x14ac:dyDescent="0.25">
      <c r="C586" s="23" t="s">
        <v>1169</v>
      </c>
    </row>
    <row r="587" spans="1:3" x14ac:dyDescent="0.25">
      <c r="C587" s="23" t="s">
        <v>1180</v>
      </c>
    </row>
    <row r="588" spans="1:3" x14ac:dyDescent="0.25">
      <c r="C588" s="23" t="s">
        <v>1181</v>
      </c>
    </row>
    <row r="590" spans="1:3" x14ac:dyDescent="0.25">
      <c r="A590" s="23" t="s">
        <v>360</v>
      </c>
      <c r="C590" s="23" t="s">
        <v>1169</v>
      </c>
    </row>
    <row r="591" spans="1:3" x14ac:dyDescent="0.25">
      <c r="C591" s="23" t="s">
        <v>404</v>
      </c>
    </row>
    <row r="593" spans="1:3" x14ac:dyDescent="0.25">
      <c r="A593" s="23" t="s">
        <v>361</v>
      </c>
      <c r="C593" s="23" t="s">
        <v>1182</v>
      </c>
    </row>
    <row r="594" spans="1:3" x14ac:dyDescent="0.25">
      <c r="C594" s="23" t="s">
        <v>1180</v>
      </c>
    </row>
    <row r="596" spans="1:3" x14ac:dyDescent="0.25">
      <c r="A596" s="23" t="s">
        <v>362</v>
      </c>
      <c r="C596" s="23" t="s">
        <v>610</v>
      </c>
    </row>
    <row r="597" spans="1:3" x14ac:dyDescent="0.25">
      <c r="C597" s="23" t="s">
        <v>611</v>
      </c>
    </row>
    <row r="598" spans="1:3" x14ac:dyDescent="0.25">
      <c r="C598" s="23" t="s">
        <v>612</v>
      </c>
    </row>
    <row r="600" spans="1:3" x14ac:dyDescent="0.25">
      <c r="A600" s="23" t="s">
        <v>363</v>
      </c>
      <c r="C600" s="23" t="s">
        <v>1169</v>
      </c>
    </row>
    <row r="601" spans="1:3" x14ac:dyDescent="0.25">
      <c r="C601" s="23" t="s">
        <v>1180</v>
      </c>
    </row>
    <row r="602" spans="1:3" x14ac:dyDescent="0.25">
      <c r="C602" s="23" t="s">
        <v>416</v>
      </c>
    </row>
    <row r="604" spans="1:3" x14ac:dyDescent="0.25">
      <c r="A604" s="23" t="s">
        <v>364</v>
      </c>
      <c r="C604" s="23" t="s">
        <v>1169</v>
      </c>
    </row>
    <row r="605" spans="1:3" x14ac:dyDescent="0.25">
      <c r="C605" s="23" t="s">
        <v>577</v>
      </c>
    </row>
    <row r="606" spans="1:3" x14ac:dyDescent="0.25">
      <c r="C606" s="23" t="s">
        <v>578</v>
      </c>
    </row>
    <row r="607" spans="1:3" x14ac:dyDescent="0.25">
      <c r="C607" s="23" t="s">
        <v>1178</v>
      </c>
    </row>
    <row r="609" spans="1:3" x14ac:dyDescent="0.25">
      <c r="A609" s="23" t="s">
        <v>365</v>
      </c>
      <c r="C609" s="23" t="s">
        <v>1169</v>
      </c>
    </row>
    <row r="610" spans="1:3" x14ac:dyDescent="0.25">
      <c r="C610" s="23" t="s">
        <v>577</v>
      </c>
    </row>
    <row r="611" spans="1:3" x14ac:dyDescent="0.25">
      <c r="C611" s="23" t="s">
        <v>578</v>
      </c>
    </row>
    <row r="613" spans="1:3" x14ac:dyDescent="0.25">
      <c r="A613" s="23" t="s">
        <v>366</v>
      </c>
      <c r="C613" s="23" t="s">
        <v>533</v>
      </c>
    </row>
    <row r="614" spans="1:3" x14ac:dyDescent="0.25">
      <c r="C614" s="23" t="s">
        <v>530</v>
      </c>
    </row>
    <row r="615" spans="1:3" x14ac:dyDescent="0.25">
      <c r="C615" s="23" t="s">
        <v>531</v>
      </c>
    </row>
    <row r="616" spans="1:3" x14ac:dyDescent="0.25">
      <c r="C616" s="23" t="s">
        <v>592</v>
      </c>
    </row>
    <row r="617" spans="1:3" x14ac:dyDescent="0.25">
      <c r="C617" s="23" t="s">
        <v>593</v>
      </c>
    </row>
    <row r="619" spans="1:3" x14ac:dyDescent="0.25">
      <c r="A619" s="23" t="s">
        <v>367</v>
      </c>
      <c r="C619" s="23" t="s">
        <v>1178</v>
      </c>
    </row>
    <row r="620" spans="1:3" x14ac:dyDescent="0.25">
      <c r="C620" s="23" t="s">
        <v>1169</v>
      </c>
    </row>
    <row r="621" spans="1:3" x14ac:dyDescent="0.25">
      <c r="C621" s="23" t="s">
        <v>577</v>
      </c>
    </row>
    <row r="622" spans="1:3" x14ac:dyDescent="0.25">
      <c r="C622" s="23" t="s">
        <v>578</v>
      </c>
    </row>
    <row r="624" spans="1:3" x14ac:dyDescent="0.25">
      <c r="A624" s="23" t="s">
        <v>368</v>
      </c>
      <c r="C624" s="23" t="s">
        <v>1169</v>
      </c>
    </row>
    <row r="625" spans="1:3" x14ac:dyDescent="0.25">
      <c r="C625" s="23" t="s">
        <v>481</v>
      </c>
    </row>
    <row r="626" spans="1:3" x14ac:dyDescent="0.25">
      <c r="C626" s="23" t="s">
        <v>473</v>
      </c>
    </row>
    <row r="628" spans="1:3" x14ac:dyDescent="0.25">
      <c r="A628" s="23" t="s">
        <v>369</v>
      </c>
      <c r="C628" s="23" t="s">
        <v>1169</v>
      </c>
    </row>
    <row r="629" spans="1:3" x14ac:dyDescent="0.25">
      <c r="C629" s="23" t="s">
        <v>393</v>
      </c>
    </row>
    <row r="631" spans="1:3" x14ac:dyDescent="0.25">
      <c r="A631" s="23" t="s">
        <v>370</v>
      </c>
      <c r="C631" s="23" t="s">
        <v>481</v>
      </c>
    </row>
    <row r="632" spans="1:3" x14ac:dyDescent="0.25">
      <c r="C632" s="23" t="s">
        <v>473</v>
      </c>
    </row>
    <row r="634" spans="1:3" x14ac:dyDescent="0.25">
      <c r="A634" s="23" t="s">
        <v>371</v>
      </c>
      <c r="C634" s="23" t="s">
        <v>1169</v>
      </c>
    </row>
    <row r="635" spans="1:3" x14ac:dyDescent="0.25">
      <c r="C635" s="23" t="s">
        <v>1183</v>
      </c>
    </row>
    <row r="637" spans="1:3" x14ac:dyDescent="0.25">
      <c r="A637" s="23" t="s">
        <v>372</v>
      </c>
      <c r="C637" s="23" t="s">
        <v>1169</v>
      </c>
    </row>
    <row r="638" spans="1:3" x14ac:dyDescent="0.25">
      <c r="C638" s="23" t="s">
        <v>1184</v>
      </c>
    </row>
    <row r="640" spans="1:3" x14ac:dyDescent="0.25">
      <c r="A640" s="23" t="s">
        <v>373</v>
      </c>
      <c r="C640" s="23" t="s">
        <v>1169</v>
      </c>
    </row>
    <row r="641" spans="1:4" x14ac:dyDescent="0.25">
      <c r="C641" s="23" t="s">
        <v>1183</v>
      </c>
    </row>
    <row r="643" spans="1:4" x14ac:dyDescent="0.25">
      <c r="A643" s="23" t="s">
        <v>374</v>
      </c>
      <c r="C643" s="23" t="s">
        <v>1169</v>
      </c>
    </row>
    <row r="644" spans="1:4" x14ac:dyDescent="0.25">
      <c r="C644" s="23" t="s">
        <v>1184</v>
      </c>
    </row>
    <row r="646" spans="1:4" x14ac:dyDescent="0.25">
      <c r="A646" s="23" t="s">
        <v>375</v>
      </c>
      <c r="C646" s="23" t="s">
        <v>1185</v>
      </c>
    </row>
    <row r="647" spans="1:4" x14ac:dyDescent="0.25">
      <c r="C647" s="23" t="s">
        <v>1169</v>
      </c>
    </row>
    <row r="649" spans="1:4" x14ac:dyDescent="0.25">
      <c r="A649" s="23" t="s">
        <v>376</v>
      </c>
      <c r="C649" s="23" t="s">
        <v>1169</v>
      </c>
    </row>
    <row r="650" spans="1:4" x14ac:dyDescent="0.25">
      <c r="C650" s="23" t="s">
        <v>1186</v>
      </c>
    </row>
    <row r="652" spans="1:4" x14ac:dyDescent="0.25">
      <c r="A652" s="23" t="s">
        <v>377</v>
      </c>
      <c r="C652" s="23" t="s">
        <v>1169</v>
      </c>
    </row>
    <row r="653" spans="1:4" x14ac:dyDescent="0.25">
      <c r="C653" s="23" t="s">
        <v>1182</v>
      </c>
    </row>
    <row r="654" spans="1:4" x14ac:dyDescent="0.25">
      <c r="C654" s="23" t="s">
        <v>1180</v>
      </c>
    </row>
    <row r="656" spans="1:4" x14ac:dyDescent="0.25">
      <c r="A656" s="23" t="s">
        <v>33</v>
      </c>
      <c r="B656" s="5" t="s">
        <v>1858</v>
      </c>
      <c r="C656" s="23" t="s">
        <v>613</v>
      </c>
      <c r="D656" t="str">
        <f>Objects!C205</f>
        <v>APRES3</v>
      </c>
    </row>
    <row r="657" spans="1:4" x14ac:dyDescent="0.25">
      <c r="B657" s="5"/>
      <c r="D657" t="str">
        <f>Objects!C220</f>
        <v>FTPSERVER_DMZ</v>
      </c>
    </row>
    <row r="658" spans="1:4" x14ac:dyDescent="0.25">
      <c r="B658" s="5"/>
      <c r="D658" t="str">
        <f>Objects!C365</f>
        <v>CrushData1</v>
      </c>
    </row>
    <row r="659" spans="1:4" x14ac:dyDescent="0.25">
      <c r="B659" s="5"/>
      <c r="D659" t="str">
        <f>Objects!C366</f>
        <v>CrushData2</v>
      </c>
    </row>
    <row r="660" spans="1:4" x14ac:dyDescent="0.25">
      <c r="B660" s="5"/>
      <c r="D660" t="str">
        <f>Objects!C368</f>
        <v>CrushDMZ1</v>
      </c>
    </row>
    <row r="661" spans="1:4" x14ac:dyDescent="0.25">
      <c r="B661" s="5"/>
      <c r="D661" t="str">
        <f>Objects!C369</f>
        <v>CrushDMZ2</v>
      </c>
    </row>
    <row r="662" spans="1:4" x14ac:dyDescent="0.25">
      <c r="B662" s="5"/>
      <c r="D662" t="str">
        <f>Objects!C236</f>
        <v>SessionState</v>
      </c>
    </row>
    <row r="663" spans="1:4" x14ac:dyDescent="0.25">
      <c r="B663" s="5"/>
      <c r="D663" t="str">
        <f>Objects!C242</f>
        <v>WSPCIDATA1</v>
      </c>
    </row>
    <row r="664" spans="1:4" x14ac:dyDescent="0.25">
      <c r="B664" s="5"/>
      <c r="D664" t="str">
        <f>Objects!C243</f>
        <v>WSPCIDMZ1</v>
      </c>
    </row>
    <row r="665" spans="1:4" x14ac:dyDescent="0.25">
      <c r="B665" s="5"/>
      <c r="D665" t="str">
        <f>Objects!C218</f>
        <v>DCIOS1</v>
      </c>
    </row>
    <row r="666" spans="1:4" x14ac:dyDescent="0.25">
      <c r="B666" s="5"/>
    </row>
    <row r="667" spans="1:4" x14ac:dyDescent="0.25">
      <c r="C667" s="23" t="s">
        <v>614</v>
      </c>
    </row>
    <row r="669" spans="1:4" x14ac:dyDescent="0.25">
      <c r="A669" s="23" t="s">
        <v>378</v>
      </c>
      <c r="C669" s="23" t="s">
        <v>615</v>
      </c>
    </row>
    <row r="670" spans="1:4" x14ac:dyDescent="0.25">
      <c r="C670" s="23" t="s">
        <v>616</v>
      </c>
    </row>
    <row r="672" spans="1:4" x14ac:dyDescent="0.25">
      <c r="A672" s="23" t="s">
        <v>379</v>
      </c>
      <c r="C672" s="23" t="s">
        <v>1181</v>
      </c>
    </row>
    <row r="673" spans="2:4" x14ac:dyDescent="0.25">
      <c r="C673" s="23" t="s">
        <v>1180</v>
      </c>
    </row>
    <row r="675" spans="2:4" x14ac:dyDescent="0.25">
      <c r="B675" s="5" t="s">
        <v>1903</v>
      </c>
      <c r="D675" t="str">
        <f>Objects!C25</f>
        <v>IOP_WAN</v>
      </c>
    </row>
    <row r="676" spans="2:4" x14ac:dyDescent="0.25">
      <c r="D676" t="str">
        <f>Objects!C26</f>
        <v>IOS_WAN</v>
      </c>
    </row>
    <row r="677" spans="2:4" x14ac:dyDescent="0.25">
      <c r="D677" t="str">
        <f>Objects!C288</f>
        <v>Qualys_SOC1</v>
      </c>
    </row>
    <row r="678" spans="2:4" x14ac:dyDescent="0.25">
      <c r="D678" t="str">
        <f>Objects!C289</f>
        <v>Qualys_SOC2</v>
      </c>
    </row>
    <row r="679" spans="2:4" x14ac:dyDescent="0.25">
      <c r="D679" t="str">
        <f>Objects!C3</f>
        <v>CSC_COX</v>
      </c>
    </row>
    <row r="681" spans="2:4" x14ac:dyDescent="0.25">
      <c r="B681" t="s">
        <v>1244</v>
      </c>
      <c r="D681" t="str">
        <f>Objects!C252</f>
        <v>DZBank_01</v>
      </c>
    </row>
    <row r="682" spans="2:4" x14ac:dyDescent="0.25">
      <c r="D682" t="str">
        <f>Objects!C253</f>
        <v>DZBank_02</v>
      </c>
    </row>
    <row r="684" spans="2:4" x14ac:dyDescent="0.25">
      <c r="B684" t="s">
        <v>1396</v>
      </c>
      <c r="D684" t="str">
        <f>Objects!C365</f>
        <v>CrushData1</v>
      </c>
    </row>
    <row r="685" spans="2:4" x14ac:dyDescent="0.25">
      <c r="D685" t="str">
        <f>Objects!C366</f>
        <v>CrushData2</v>
      </c>
    </row>
    <row r="686" spans="2:4" x14ac:dyDescent="0.25">
      <c r="D686" t="str">
        <f>Objects!C367</f>
        <v>CrushDataVIP</v>
      </c>
    </row>
    <row r="688" spans="2:4" x14ac:dyDescent="0.25">
      <c r="B688" t="s">
        <v>1410</v>
      </c>
      <c r="D688" t="str">
        <f>Objects!C368</f>
        <v>CrushDMZ1</v>
      </c>
    </row>
    <row r="689" spans="2:4" x14ac:dyDescent="0.25">
      <c r="D689" t="str">
        <f>Objects!C369</f>
        <v>CrushDMZ2</v>
      </c>
    </row>
    <row r="691" spans="2:4" x14ac:dyDescent="0.25">
      <c r="B691" t="s">
        <v>1414</v>
      </c>
      <c r="D691" t="str">
        <f>Objects!C242</f>
        <v>WSPCIDATA1</v>
      </c>
    </row>
    <row r="693" spans="2:4" x14ac:dyDescent="0.25">
      <c r="B693" t="s">
        <v>1618</v>
      </c>
      <c r="D693" t="str">
        <f>Objects!C243</f>
        <v>WSPCIDMZ1</v>
      </c>
    </row>
    <row r="695" spans="2:4" x14ac:dyDescent="0.25">
      <c r="B695" s="5" t="s">
        <v>1859</v>
      </c>
      <c r="D695" t="str">
        <f>Objects!C205</f>
        <v>APRES3</v>
      </c>
    </row>
    <row r="696" spans="2:4" x14ac:dyDescent="0.25">
      <c r="D696" t="str">
        <f>Objects!C220</f>
        <v>FTPSERVER_DMZ</v>
      </c>
    </row>
    <row r="697" spans="2:4" x14ac:dyDescent="0.25">
      <c r="D697" t="str">
        <f>Objects!C365</f>
        <v>CrushData1</v>
      </c>
    </row>
    <row r="698" spans="2:4" x14ac:dyDescent="0.25">
      <c r="D698" t="str">
        <f>Objects!C366</f>
        <v>CrushData2</v>
      </c>
    </row>
    <row r="699" spans="2:4" x14ac:dyDescent="0.25">
      <c r="D699" t="str">
        <f>Objects!C368</f>
        <v>CrushDMZ1</v>
      </c>
    </row>
    <row r="700" spans="2:4" x14ac:dyDescent="0.25">
      <c r="D700" t="str">
        <f>Objects!C369</f>
        <v>CrushDMZ2</v>
      </c>
    </row>
    <row r="701" spans="2:4" x14ac:dyDescent="0.25">
      <c r="D701" t="str">
        <f>Objects!C236</f>
        <v>SessionState</v>
      </c>
    </row>
    <row r="702" spans="2:4" x14ac:dyDescent="0.25">
      <c r="D702" t="str">
        <f>Objects!C242</f>
        <v>WSPCIDATA1</v>
      </c>
    </row>
    <row r="703" spans="2:4" x14ac:dyDescent="0.25">
      <c r="D703" t="str">
        <f>Objects!C243</f>
        <v>WSPCIDMZ1</v>
      </c>
    </row>
    <row r="704" spans="2:4" x14ac:dyDescent="0.25">
      <c r="D704" t="str">
        <f>Objects!C218</f>
        <v>DCIOS1</v>
      </c>
    </row>
    <row r="706" spans="2:4" x14ac:dyDescent="0.25">
      <c r="B706" t="s">
        <v>1584</v>
      </c>
      <c r="D706" t="str">
        <f>Objects!C205</f>
        <v>APRES3</v>
      </c>
    </row>
    <row r="708" spans="2:4" x14ac:dyDescent="0.25">
      <c r="B708" t="s">
        <v>1610</v>
      </c>
      <c r="D708" t="str">
        <f>Objects!C2</f>
        <v>ClubExploria_01</v>
      </c>
    </row>
    <row r="709" spans="2:4" x14ac:dyDescent="0.25">
      <c r="D709" t="str">
        <f>B716</f>
        <v>Iberostar_Users</v>
      </c>
    </row>
    <row r="710" spans="2:4" x14ac:dyDescent="0.25">
      <c r="D710" s="5" t="str">
        <f>B422</f>
        <v>Incapsula_WAF</v>
      </c>
    </row>
    <row r="711" spans="2:4" x14ac:dyDescent="0.25">
      <c r="D711" t="str">
        <f>B265</f>
        <v>RCI_Users</v>
      </c>
    </row>
    <row r="712" spans="2:4" x14ac:dyDescent="0.25">
      <c r="D712" t="str">
        <f>B222</f>
        <v>Sundance_Users</v>
      </c>
    </row>
    <row r="713" spans="2:4" x14ac:dyDescent="0.25">
      <c r="D713" t="str">
        <f>Objects!C280</f>
        <v>Paymetric_QA_XIintercept</v>
      </c>
    </row>
    <row r="714" spans="2:4" x14ac:dyDescent="0.25">
      <c r="D714" t="str">
        <f>Objects!C281</f>
        <v>Paymetric_QA_XIpay</v>
      </c>
    </row>
    <row r="716" spans="2:4" x14ac:dyDescent="0.25">
      <c r="B716" s="5" t="s">
        <v>1841</v>
      </c>
      <c r="D716" t="str">
        <f>Objects!C4</f>
        <v>IBEROSTAR_01</v>
      </c>
    </row>
    <row r="717" spans="2:4" x14ac:dyDescent="0.25">
      <c r="D717" t="str">
        <f>Objects!C5</f>
        <v>IBEROSTAR_02</v>
      </c>
    </row>
    <row r="718" spans="2:4" x14ac:dyDescent="0.25">
      <c r="D718" t="str">
        <f>Objects!C6</f>
        <v>IBEROSTAR_03</v>
      </c>
    </row>
    <row r="719" spans="2:4" x14ac:dyDescent="0.25">
      <c r="D719" t="str">
        <f>Objects!C7</f>
        <v>IBEROSTAR_04</v>
      </c>
    </row>
    <row r="721" spans="2:4" x14ac:dyDescent="0.25">
      <c r="B721" t="s">
        <v>1806</v>
      </c>
      <c r="D721" t="str">
        <f>Objects!C419</f>
        <v>NTP_External01</v>
      </c>
    </row>
    <row r="722" spans="2:4" x14ac:dyDescent="0.25">
      <c r="D722" t="str">
        <f>Objects!C420</f>
        <v>NTP_External02</v>
      </c>
    </row>
    <row r="723" spans="2:4" x14ac:dyDescent="0.25">
      <c r="D723" t="str">
        <f>Objects!C421</f>
        <v>NTP_External03</v>
      </c>
    </row>
    <row r="724" spans="2:4" x14ac:dyDescent="0.25">
      <c r="D724" s="5" t="str">
        <f>Objects!C422</f>
        <v>NTP_External04</v>
      </c>
    </row>
    <row r="725" spans="2:4" x14ac:dyDescent="0.25">
      <c r="D725" s="5" t="str">
        <f>Objects!C423</f>
        <v>NTP_External05</v>
      </c>
    </row>
    <row r="726" spans="2:4" x14ac:dyDescent="0.25">
      <c r="D726" s="5" t="str">
        <f>Objects!C424</f>
        <v>NTP_External06</v>
      </c>
    </row>
    <row r="728" spans="2:4" x14ac:dyDescent="0.25">
      <c r="B728" s="5" t="s">
        <v>1838</v>
      </c>
      <c r="D728" s="5" t="str">
        <f>Objects!C438</f>
        <v>USBank_01</v>
      </c>
    </row>
    <row r="730" spans="2:4" x14ac:dyDescent="0.25">
      <c r="B730" s="5" t="s">
        <v>1839</v>
      </c>
      <c r="D730" t="str">
        <f>Objects!C266</f>
        <v>MeadowLake_01</v>
      </c>
    </row>
    <row r="732" spans="2:4" x14ac:dyDescent="0.25">
      <c r="B732" s="5" t="s">
        <v>1840</v>
      </c>
      <c r="D732" t="str">
        <f>Objects!C353</f>
        <v>UScredit_01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6"/>
  <sheetViews>
    <sheetView workbookViewId="0">
      <pane ySplit="2" topLeftCell="A15" activePane="bottomLeft" state="frozen"/>
      <selection pane="bottomLeft" activeCell="B33" sqref="B33"/>
    </sheetView>
  </sheetViews>
  <sheetFormatPr defaultRowHeight="15" x14ac:dyDescent="0.25"/>
  <cols>
    <col min="1" max="1" width="17.7109375" customWidth="1"/>
    <col min="2" max="2" width="38.28515625" bestFit="1" customWidth="1"/>
    <col min="3" max="3" width="14.85546875" bestFit="1" customWidth="1"/>
    <col min="4" max="4" width="25.5703125" bestFit="1" customWidth="1"/>
    <col min="5" max="5" width="22.7109375" customWidth="1"/>
    <col min="6" max="6" width="20" bestFit="1" customWidth="1"/>
    <col min="7" max="7" width="14.7109375" bestFit="1" customWidth="1"/>
    <col min="8" max="8" width="25.5703125" bestFit="1" customWidth="1"/>
    <col min="9" max="9" width="7.42578125" bestFit="1" customWidth="1"/>
    <col min="10" max="10" width="17.5703125" bestFit="1" customWidth="1"/>
    <col min="11" max="11" width="22" bestFit="1" customWidth="1"/>
    <col min="12" max="12" width="15.42578125" customWidth="1"/>
  </cols>
  <sheetData>
    <row r="1" spans="1:11" s="13" customFormat="1" x14ac:dyDescent="0.25">
      <c r="B1" s="56" t="s">
        <v>240</v>
      </c>
      <c r="C1" s="56" t="s">
        <v>239</v>
      </c>
      <c r="D1" s="55" t="s">
        <v>1364</v>
      </c>
      <c r="E1" s="55"/>
      <c r="F1" s="55"/>
      <c r="G1" s="55"/>
      <c r="H1" s="55"/>
      <c r="I1" s="55"/>
      <c r="J1" s="55" t="s">
        <v>1365</v>
      </c>
      <c r="K1" s="55"/>
    </row>
    <row r="2" spans="1:11" s="13" customFormat="1" x14ac:dyDescent="0.25">
      <c r="B2" s="56"/>
      <c r="C2" s="56"/>
      <c r="D2" s="13" t="s">
        <v>1358</v>
      </c>
      <c r="E2" s="13" t="s">
        <v>1359</v>
      </c>
      <c r="F2" s="13" t="s">
        <v>1360</v>
      </c>
      <c r="G2" s="13" t="s">
        <v>1361</v>
      </c>
      <c r="H2" s="13" t="s">
        <v>1362</v>
      </c>
      <c r="I2" s="13" t="s">
        <v>8</v>
      </c>
      <c r="J2" s="13" t="s">
        <v>1363</v>
      </c>
      <c r="K2" s="13" t="s">
        <v>1369</v>
      </c>
    </row>
    <row r="3" spans="1:11" ht="30" x14ac:dyDescent="0.25">
      <c r="A3">
        <v>1</v>
      </c>
      <c r="B3" s="9" t="str">
        <f>Objects!C207</f>
        <v>Concord1</v>
      </c>
      <c r="C3" s="8" t="s">
        <v>1366</v>
      </c>
      <c r="D3" s="9" t="str">
        <f>'PA Zones'!A3</f>
        <v>Outside</v>
      </c>
      <c r="E3" s="9" t="str">
        <f>'PA Zones'!A3</f>
        <v>Outside</v>
      </c>
      <c r="F3" s="9" t="s">
        <v>32</v>
      </c>
      <c r="G3" s="9" t="s">
        <v>32</v>
      </c>
      <c r="H3" s="9" t="str">
        <f>Objects!C375</f>
        <v>Stg_Concord1_NAT</v>
      </c>
      <c r="I3" s="9" t="s">
        <v>32</v>
      </c>
      <c r="J3" s="9" t="s">
        <v>253</v>
      </c>
      <c r="K3" s="11" t="str">
        <f>Objects!C207</f>
        <v>Concord1</v>
      </c>
    </row>
    <row r="4" spans="1:11" s="6" customFormat="1" ht="45" x14ac:dyDescent="0.25">
      <c r="A4" s="6">
        <v>2</v>
      </c>
      <c r="B4" s="33" t="str">
        <f>Objects!C370</f>
        <v>CrushDMZVIP</v>
      </c>
      <c r="C4" s="14" t="s">
        <v>1367</v>
      </c>
      <c r="D4" s="11" t="str">
        <f>'PA Zones'!A3</f>
        <v>Outside</v>
      </c>
      <c r="E4" s="11" t="str">
        <f>'PA Zones'!A3</f>
        <v>Outside</v>
      </c>
      <c r="F4" s="11" t="s">
        <v>32</v>
      </c>
      <c r="G4" s="11" t="s">
        <v>32</v>
      </c>
      <c r="H4" s="11" t="str">
        <f>Objects!C380</f>
        <v>Stg_CrushDMZVIP_NAT</v>
      </c>
      <c r="I4" s="11" t="s">
        <v>32</v>
      </c>
      <c r="J4" s="11" t="s">
        <v>253</v>
      </c>
      <c r="K4" s="11" t="str">
        <f>Objects!C370</f>
        <v>CrushDMZVIP</v>
      </c>
    </row>
    <row r="5" spans="1:11" x14ac:dyDescent="0.25">
      <c r="B5" s="9" t="str">
        <f>Objects!C205</f>
        <v>APRES3</v>
      </c>
      <c r="C5" s="8"/>
      <c r="D5" s="9" t="str">
        <f>'PA Zones'!A3</f>
        <v>Outside</v>
      </c>
      <c r="E5" s="9" t="str">
        <f>'PA Zones'!A3</f>
        <v>Outside</v>
      </c>
      <c r="F5" s="9" t="s">
        <v>32</v>
      </c>
      <c r="G5" s="9" t="s">
        <v>32</v>
      </c>
      <c r="H5" s="11" t="str">
        <f>Objects!C374</f>
        <v>Stg_APres3_NAT</v>
      </c>
      <c r="I5" s="9" t="s">
        <v>32</v>
      </c>
      <c r="J5" s="9" t="s">
        <v>253</v>
      </c>
      <c r="K5" s="9" t="str">
        <f>Objects!C205</f>
        <v>APRES3</v>
      </c>
    </row>
    <row r="6" spans="1:11" x14ac:dyDescent="0.25">
      <c r="B6" s="9" t="str">
        <f>Objects!C365</f>
        <v>CrushData1</v>
      </c>
      <c r="C6" s="9"/>
      <c r="D6" s="9" t="str">
        <f>'PA Zones'!A3</f>
        <v>Outside</v>
      </c>
      <c r="E6" s="9" t="str">
        <f>'PA Zones'!A3</f>
        <v>Outside</v>
      </c>
      <c r="F6" s="9" t="s">
        <v>32</v>
      </c>
      <c r="G6" s="9" t="s">
        <v>32</v>
      </c>
      <c r="H6" s="9" t="str">
        <f>Objects!C377</f>
        <v>Stg_CrushData1_NAT</v>
      </c>
      <c r="I6" s="9" t="s">
        <v>32</v>
      </c>
      <c r="J6" s="9" t="s">
        <v>253</v>
      </c>
      <c r="K6" s="9" t="str">
        <f>Objects!C365</f>
        <v>CrushData1</v>
      </c>
    </row>
    <row r="7" spans="1:11" x14ac:dyDescent="0.25">
      <c r="B7" s="9" t="str">
        <f>Objects!C367</f>
        <v>CrushDataVIP</v>
      </c>
      <c r="C7" s="9"/>
      <c r="D7" s="9" t="str">
        <f>'PA Zones'!A3</f>
        <v>Outside</v>
      </c>
      <c r="E7" s="9" t="str">
        <f>'PA Zones'!A3</f>
        <v>Outside</v>
      </c>
      <c r="F7" s="9" t="s">
        <v>32</v>
      </c>
      <c r="G7" s="9" t="s">
        <v>32</v>
      </c>
      <c r="H7" s="9" t="str">
        <f>Objects!C378</f>
        <v>Stg_CrushDataVIP_NAT</v>
      </c>
      <c r="I7" s="9" t="s">
        <v>32</v>
      </c>
      <c r="J7" s="9" t="s">
        <v>253</v>
      </c>
      <c r="K7" s="9" t="str">
        <f>Objects!C367</f>
        <v>CrushDataVIP</v>
      </c>
    </row>
    <row r="8" spans="1:11" x14ac:dyDescent="0.25">
      <c r="B8" s="9" t="str">
        <f>Objects!C368</f>
        <v>CrushDMZ1</v>
      </c>
      <c r="C8" s="9"/>
      <c r="D8" s="9" t="str">
        <f>'PA Zones'!A3</f>
        <v>Outside</v>
      </c>
      <c r="E8" s="9" t="str">
        <f>'PA Zones'!A3</f>
        <v>Outside</v>
      </c>
      <c r="F8" s="9" t="s">
        <v>32</v>
      </c>
      <c r="G8" s="9" t="s">
        <v>32</v>
      </c>
      <c r="H8" s="9" t="str">
        <f>Objects!C379</f>
        <v>Stg_CrushDMZ1_NAT</v>
      </c>
      <c r="I8" s="9" t="s">
        <v>32</v>
      </c>
      <c r="J8" s="9" t="s">
        <v>253</v>
      </c>
      <c r="K8" s="9" t="str">
        <f>Objects!C368</f>
        <v>CrushDMZ1</v>
      </c>
    </row>
    <row r="9" spans="1:11" x14ac:dyDescent="0.25">
      <c r="B9" s="9" t="str">
        <f>Objects!C211</f>
        <v>CrushInternal01</v>
      </c>
      <c r="C9" s="9"/>
      <c r="D9" s="9" t="str">
        <f>'PA Zones'!A3</f>
        <v>Outside</v>
      </c>
      <c r="E9" s="9" t="str">
        <f>'PA Zones'!A3</f>
        <v>Outside</v>
      </c>
      <c r="F9" s="9" t="s">
        <v>32</v>
      </c>
      <c r="G9" s="9" t="s">
        <v>32</v>
      </c>
      <c r="H9" s="9" t="str">
        <f>Objects!C381</f>
        <v>Stg_CrushInternal01_NAT</v>
      </c>
      <c r="I9" s="9" t="s">
        <v>32</v>
      </c>
      <c r="J9" s="9" t="s">
        <v>253</v>
      </c>
      <c r="K9" s="9" t="str">
        <f>Objects!C211</f>
        <v>CrushInternal01</v>
      </c>
    </row>
    <row r="10" spans="1:11" x14ac:dyDescent="0.25">
      <c r="B10" s="9" t="str">
        <f>Objects!C372</f>
        <v>TrueBI</v>
      </c>
      <c r="C10" s="9"/>
      <c r="D10" s="9" t="str">
        <f>'PA Zones'!A3</f>
        <v>Outside</v>
      </c>
      <c r="E10" s="9" t="str">
        <f>'PA Zones'!A3</f>
        <v>Outside</v>
      </c>
      <c r="F10" s="9" t="s">
        <v>32</v>
      </c>
      <c r="G10" s="9" t="s">
        <v>32</v>
      </c>
      <c r="H10" s="9" t="str">
        <f>Objects!C382</f>
        <v>Stg_TrueBI_NAT</v>
      </c>
      <c r="I10" s="9" t="s">
        <v>32</v>
      </c>
      <c r="J10" s="9" t="s">
        <v>253</v>
      </c>
      <c r="K10" s="9" t="str">
        <f>Objects!C372</f>
        <v>TrueBI</v>
      </c>
    </row>
    <row r="11" spans="1:11" x14ac:dyDescent="0.25">
      <c r="B11" s="9" t="str">
        <f>Objects!C371</f>
        <v>CSCWH</v>
      </c>
      <c r="C11" s="9"/>
      <c r="D11" s="9" t="str">
        <f>'PA Zones'!A3</f>
        <v>Outside</v>
      </c>
      <c r="E11" s="9" t="str">
        <f>'PA Zones'!A3</f>
        <v>Outside</v>
      </c>
      <c r="F11" s="9" t="s">
        <v>32</v>
      </c>
      <c r="G11" s="9" t="s">
        <v>32</v>
      </c>
      <c r="H11" s="9" t="str">
        <f>Objects!C383</f>
        <v>Stg_CSCWH_NAT</v>
      </c>
      <c r="I11" s="9" t="s">
        <v>32</v>
      </c>
      <c r="J11" s="9" t="s">
        <v>253</v>
      </c>
      <c r="K11" s="9" t="str">
        <f>Objects!C371</f>
        <v>CSCWH</v>
      </c>
    </row>
    <row r="12" spans="1:11" x14ac:dyDescent="0.25">
      <c r="B12" s="9" t="str">
        <f>Objects!C218</f>
        <v>DCIOS1</v>
      </c>
      <c r="C12" s="9"/>
      <c r="D12" s="9" t="str">
        <f>'PA Zones'!A3</f>
        <v>Outside</v>
      </c>
      <c r="E12" s="9" t="str">
        <f>'PA Zones'!A3</f>
        <v>Outside</v>
      </c>
      <c r="F12" s="9" t="s">
        <v>32</v>
      </c>
      <c r="G12" s="9" t="s">
        <v>32</v>
      </c>
      <c r="H12" s="9" t="str">
        <f>Objects!C384</f>
        <v>Stg_DCIOS1_NAT</v>
      </c>
      <c r="I12" s="9" t="s">
        <v>32</v>
      </c>
      <c r="J12" s="9" t="s">
        <v>253</v>
      </c>
      <c r="K12" s="9" t="str">
        <f>Objects!C218</f>
        <v>DCIOS1</v>
      </c>
    </row>
    <row r="13" spans="1:11" x14ac:dyDescent="0.25">
      <c r="B13" s="9" t="str">
        <f>Objects!C219</f>
        <v>FTPSERVERCSC</v>
      </c>
      <c r="C13" s="9"/>
      <c r="D13" s="9" t="str">
        <f>'PA Zones'!A3</f>
        <v>Outside</v>
      </c>
      <c r="E13" s="9" t="str">
        <f>'PA Zones'!A3</f>
        <v>Outside</v>
      </c>
      <c r="F13" s="9" t="s">
        <v>32</v>
      </c>
      <c r="G13" s="9" t="s">
        <v>32</v>
      </c>
      <c r="H13" s="9" t="str">
        <f>Objects!C385</f>
        <v>Stg_FTPServerCSC_NAT</v>
      </c>
      <c r="I13" s="9" t="s">
        <v>32</v>
      </c>
      <c r="J13" s="9" t="s">
        <v>253</v>
      </c>
      <c r="K13" s="9" t="str">
        <f>Objects!C219</f>
        <v>FTPSERVERCSC</v>
      </c>
    </row>
    <row r="14" spans="1:11" x14ac:dyDescent="0.25">
      <c r="B14" s="9" t="str">
        <f>Objects!C220</f>
        <v>FTPSERVER_DMZ</v>
      </c>
      <c r="C14" s="9"/>
      <c r="D14" s="9" t="str">
        <f>'PA Zones'!A3</f>
        <v>Outside</v>
      </c>
      <c r="E14" s="9" t="str">
        <f>'PA Zones'!A3</f>
        <v>Outside</v>
      </c>
      <c r="F14" s="9" t="s">
        <v>32</v>
      </c>
      <c r="G14" s="9" t="s">
        <v>32</v>
      </c>
      <c r="H14" s="9" t="str">
        <f>Objects!C386</f>
        <v>Stg_FTPServerDMZ_NAT</v>
      </c>
      <c r="I14" s="9" t="s">
        <v>32</v>
      </c>
      <c r="J14" s="9" t="s">
        <v>253</v>
      </c>
      <c r="K14" s="9" t="str">
        <f>Objects!C220</f>
        <v>FTPSERVER_DMZ</v>
      </c>
    </row>
    <row r="15" spans="1:11" x14ac:dyDescent="0.25">
      <c r="B15" s="9" t="str">
        <f>Objects!C222</f>
        <v>LDAPProd</v>
      </c>
      <c r="C15" s="9"/>
      <c r="D15" s="9" t="str">
        <f>'PA Zones'!A3</f>
        <v>Outside</v>
      </c>
      <c r="E15" s="9" t="str">
        <f>'PA Zones'!A3</f>
        <v>Outside</v>
      </c>
      <c r="F15" s="9" t="s">
        <v>32</v>
      </c>
      <c r="G15" s="9" t="s">
        <v>32</v>
      </c>
      <c r="H15" s="9" t="str">
        <f>Objects!C387</f>
        <v>Stg_LDAP_NAT</v>
      </c>
      <c r="I15" s="9" t="s">
        <v>32</v>
      </c>
      <c r="J15" s="9" t="s">
        <v>253</v>
      </c>
      <c r="K15" s="9" t="str">
        <f>Objects!C222</f>
        <v>LDAPProd</v>
      </c>
    </row>
    <row r="16" spans="1:11" x14ac:dyDescent="0.25">
      <c r="B16" s="9" t="str">
        <f>Objects!C224</f>
        <v>PHXRPTS</v>
      </c>
      <c r="C16" s="9"/>
      <c r="D16" s="9" t="str">
        <f>'PA Zones'!A3</f>
        <v>Outside</v>
      </c>
      <c r="E16" s="9" t="str">
        <f>'PA Zones'!A3</f>
        <v>Outside</v>
      </c>
      <c r="F16" s="9" t="s">
        <v>32</v>
      </c>
      <c r="G16" s="9" t="s">
        <v>32</v>
      </c>
      <c r="H16" s="9" t="str">
        <f>Objects!C388</f>
        <v>Stg_PHXRPTS_NAT</v>
      </c>
      <c r="I16" s="9" t="s">
        <v>32</v>
      </c>
      <c r="J16" s="9" t="s">
        <v>253</v>
      </c>
      <c r="K16" s="9" t="str">
        <f>Objects!C224</f>
        <v>PHXRPTS</v>
      </c>
    </row>
    <row r="17" spans="2:13" x14ac:dyDescent="0.25">
      <c r="B17" s="9" t="str">
        <f>Objects!C225</f>
        <v>PHXRPTV</v>
      </c>
      <c r="C17" s="9"/>
      <c r="D17" s="9" t="str">
        <f>'PA Zones'!A3</f>
        <v>Outside</v>
      </c>
      <c r="E17" s="9" t="str">
        <f>'PA Zones'!A3</f>
        <v>Outside</v>
      </c>
      <c r="F17" s="9" t="s">
        <v>32</v>
      </c>
      <c r="G17" s="9" t="s">
        <v>32</v>
      </c>
      <c r="H17" s="9" t="str">
        <f>Objects!C389</f>
        <v>Stg_PHXRPTV_NAT</v>
      </c>
      <c r="I17" s="9" t="s">
        <v>32</v>
      </c>
      <c r="J17" s="9" t="s">
        <v>253</v>
      </c>
      <c r="K17" s="9" t="str">
        <f>Objects!C225</f>
        <v>PHXRPTV</v>
      </c>
    </row>
    <row r="18" spans="2:13" x14ac:dyDescent="0.25">
      <c r="B18" s="9" t="str">
        <f>Objects!C227</f>
        <v>PHXV</v>
      </c>
      <c r="C18" s="9"/>
      <c r="D18" s="9" t="str">
        <f>'PA Zones'!A3</f>
        <v>Outside</v>
      </c>
      <c r="E18" s="9" t="str">
        <f>'PA Zones'!A3</f>
        <v>Outside</v>
      </c>
      <c r="F18" s="9" t="s">
        <v>32</v>
      </c>
      <c r="G18" s="9" t="s">
        <v>32</v>
      </c>
      <c r="H18" s="9" t="str">
        <f>Objects!C390</f>
        <v>Stg_PHXV_NAT</v>
      </c>
      <c r="I18" s="9" t="s">
        <v>32</v>
      </c>
      <c r="J18" s="9" t="s">
        <v>253</v>
      </c>
      <c r="K18" s="9" t="str">
        <f>Objects!C227</f>
        <v>PHXV</v>
      </c>
    </row>
    <row r="19" spans="2:13" x14ac:dyDescent="0.25">
      <c r="B19" s="9" t="str">
        <f>Objects!C228</f>
        <v>PHXWH</v>
      </c>
      <c r="C19" s="9"/>
      <c r="D19" s="9" t="str">
        <f>'PA Zones'!A3</f>
        <v>Outside</v>
      </c>
      <c r="E19" s="9" t="str">
        <f>'PA Zones'!A3</f>
        <v>Outside</v>
      </c>
      <c r="F19" s="9" t="s">
        <v>32</v>
      </c>
      <c r="G19" s="9" t="s">
        <v>32</v>
      </c>
      <c r="H19" s="9" t="str">
        <f>Objects!C391</f>
        <v>Stg_PHXWH_NAT</v>
      </c>
      <c r="I19" s="9" t="s">
        <v>32</v>
      </c>
      <c r="J19" s="9" t="s">
        <v>253</v>
      </c>
      <c r="K19" s="9" t="str">
        <f>Objects!C228</f>
        <v>PHXWH</v>
      </c>
    </row>
    <row r="20" spans="2:13" x14ac:dyDescent="0.25">
      <c r="B20" s="9" t="str">
        <f>Objects!C229</f>
        <v>RABBITMQ1</v>
      </c>
      <c r="C20" s="9"/>
      <c r="D20" s="9" t="str">
        <f>'PA Zones'!A3</f>
        <v>Outside</v>
      </c>
      <c r="E20" s="9" t="str">
        <f>'PA Zones'!A3</f>
        <v>Outside</v>
      </c>
      <c r="F20" s="9" t="s">
        <v>32</v>
      </c>
      <c r="G20" s="9" t="s">
        <v>32</v>
      </c>
      <c r="H20" s="9" t="str">
        <f>Objects!C392</f>
        <v>Stg_RabbitMQ1_NAT</v>
      </c>
      <c r="I20" s="9" t="s">
        <v>32</v>
      </c>
      <c r="J20" s="9" t="s">
        <v>253</v>
      </c>
      <c r="K20" s="9" t="str">
        <f>Objects!C229</f>
        <v>RABBITMQ1</v>
      </c>
    </row>
    <row r="21" spans="2:13" x14ac:dyDescent="0.25">
      <c r="B21" s="9" t="str">
        <f>Objects!C236</f>
        <v>SessionState</v>
      </c>
      <c r="C21" s="9"/>
      <c r="D21" s="9" t="str">
        <f>'PA Zones'!A3</f>
        <v>Outside</v>
      </c>
      <c r="E21" s="9" t="str">
        <f>'PA Zones'!A3</f>
        <v>Outside</v>
      </c>
      <c r="F21" s="9" t="s">
        <v>32</v>
      </c>
      <c r="G21" s="9" t="s">
        <v>32</v>
      </c>
      <c r="H21" s="9" t="str">
        <f>Objects!C393</f>
        <v>Stg_SessionState_NAT</v>
      </c>
      <c r="I21" s="9" t="s">
        <v>32</v>
      </c>
      <c r="J21" s="9" t="s">
        <v>253</v>
      </c>
      <c r="K21" s="9" t="str">
        <f>Objects!C236</f>
        <v>SessionState</v>
      </c>
    </row>
    <row r="22" spans="2:13" x14ac:dyDescent="0.25">
      <c r="B22" s="9" t="str">
        <f>Objects!C231</f>
        <v>SMTP</v>
      </c>
      <c r="C22" s="9"/>
      <c r="D22" s="9" t="str">
        <f>'PA Zones'!A3</f>
        <v>Outside</v>
      </c>
      <c r="E22" s="9" t="str">
        <f>'PA Zones'!A3</f>
        <v>Outside</v>
      </c>
      <c r="F22" s="9" t="s">
        <v>32</v>
      </c>
      <c r="G22" s="9" t="s">
        <v>32</v>
      </c>
      <c r="H22" s="9" t="str">
        <f>Objects!C394</f>
        <v>Stg_SMTP_NAT</v>
      </c>
      <c r="I22" s="9" t="s">
        <v>32</v>
      </c>
      <c r="J22" s="9" t="s">
        <v>253</v>
      </c>
      <c r="K22" s="9" t="str">
        <f>Objects!C231</f>
        <v>SMTP</v>
      </c>
    </row>
    <row r="23" spans="2:13" x14ac:dyDescent="0.25">
      <c r="B23" s="9" t="str">
        <f>Objects!C234</f>
        <v>SQLAppsV</v>
      </c>
      <c r="C23" s="9"/>
      <c r="D23" s="9" t="str">
        <f>'PA Zones'!A3</f>
        <v>Outside</v>
      </c>
      <c r="E23" s="9" t="str">
        <f>'PA Zones'!A3</f>
        <v>Outside</v>
      </c>
      <c r="F23" s="9" t="s">
        <v>32</v>
      </c>
      <c r="G23" s="9" t="s">
        <v>32</v>
      </c>
      <c r="H23" s="9" t="str">
        <f>Objects!C395</f>
        <v>Stg_SQLAppsV_NAT</v>
      </c>
      <c r="I23" s="9" t="s">
        <v>32</v>
      </c>
      <c r="J23" s="9" t="s">
        <v>253</v>
      </c>
      <c r="K23" s="9" t="str">
        <f>Objects!C234</f>
        <v>SQLAppsV</v>
      </c>
    </row>
    <row r="24" spans="2:13" x14ac:dyDescent="0.25">
      <c r="B24" s="9" t="str">
        <f>Objects!C235</f>
        <v>SQLIOS</v>
      </c>
      <c r="C24" s="9"/>
      <c r="D24" s="9" t="str">
        <f>'PA Zones'!A3</f>
        <v>Outside</v>
      </c>
      <c r="E24" s="9" t="str">
        <f>'PA Zones'!A3</f>
        <v>Outside</v>
      </c>
      <c r="F24" s="9" t="s">
        <v>32</v>
      </c>
      <c r="G24" s="9" t="s">
        <v>32</v>
      </c>
      <c r="H24" s="9" t="str">
        <f>Objects!C396</f>
        <v>Stg_SQLIOS_NAT</v>
      </c>
      <c r="I24" s="9" t="s">
        <v>32</v>
      </c>
      <c r="J24" s="9" t="s">
        <v>253</v>
      </c>
      <c r="K24" s="9" t="str">
        <f>Objects!C235</f>
        <v>SQLIOS</v>
      </c>
    </row>
    <row r="25" spans="2:13" x14ac:dyDescent="0.25">
      <c r="B25" s="9" t="str">
        <f>Objects!C237</f>
        <v>WebIO</v>
      </c>
      <c r="C25" s="9"/>
      <c r="D25" s="9" t="str">
        <f>'PA Zones'!A3</f>
        <v>Outside</v>
      </c>
      <c r="E25" s="9" t="str">
        <f>'PA Zones'!A3</f>
        <v>Outside</v>
      </c>
      <c r="F25" s="9" t="s">
        <v>32</v>
      </c>
      <c r="G25" s="9" t="s">
        <v>32</v>
      </c>
      <c r="H25" s="9" t="str">
        <f>Objects!C397</f>
        <v>WebIO_NAT</v>
      </c>
      <c r="I25" s="9" t="s">
        <v>32</v>
      </c>
      <c r="J25" s="9" t="s">
        <v>253</v>
      </c>
      <c r="K25" s="9" t="str">
        <f>Objects!C237</f>
        <v>WebIO</v>
      </c>
    </row>
    <row r="26" spans="2:13" x14ac:dyDescent="0.25">
      <c r="B26" s="9" t="str">
        <f>Objects!C239</f>
        <v>WebServicesEXT</v>
      </c>
      <c r="C26" s="9"/>
      <c r="D26" s="9" t="str">
        <f>'PA Zones'!A3</f>
        <v>Outside</v>
      </c>
      <c r="E26" s="9" t="str">
        <f>'PA Zones'!A3</f>
        <v>Outside</v>
      </c>
      <c r="F26" s="9" t="s">
        <v>32</v>
      </c>
      <c r="G26" s="9" t="s">
        <v>32</v>
      </c>
      <c r="H26" s="9" t="str">
        <f>Objects!C398</f>
        <v>Stg_WebServicesEXT_NAT</v>
      </c>
      <c r="I26" s="9" t="s">
        <v>32</v>
      </c>
      <c r="J26" s="9" t="s">
        <v>253</v>
      </c>
      <c r="K26" s="9" t="str">
        <f>Objects!C239</f>
        <v>WebServicesEXT</v>
      </c>
    </row>
    <row r="27" spans="2:13" x14ac:dyDescent="0.25">
      <c r="B27" s="9" t="str">
        <f>Objects!C241</f>
        <v>WebServicesIOS</v>
      </c>
      <c r="C27" s="9"/>
      <c r="D27" s="9" t="str">
        <f>'PA Zones'!A3</f>
        <v>Outside</v>
      </c>
      <c r="E27" s="9" t="str">
        <f>'PA Zones'!A3</f>
        <v>Outside</v>
      </c>
      <c r="F27" s="9" t="s">
        <v>32</v>
      </c>
      <c r="G27" s="9" t="s">
        <v>32</v>
      </c>
      <c r="H27" s="9" t="str">
        <f>Objects!C399</f>
        <v>Stg_WebServicesIOS_NAT</v>
      </c>
      <c r="I27" s="9" t="s">
        <v>32</v>
      </c>
      <c r="J27" s="9" t="s">
        <v>253</v>
      </c>
      <c r="K27" s="9" t="str">
        <f>Objects!C241</f>
        <v>WebServicesIOS</v>
      </c>
    </row>
    <row r="28" spans="2:13" x14ac:dyDescent="0.25">
      <c r="B28" s="9" t="str">
        <f>Objects!C242</f>
        <v>WSPCIDATA1</v>
      </c>
      <c r="C28" s="9"/>
      <c r="D28" s="9" t="str">
        <f>'PA Zones'!A3</f>
        <v>Outside</v>
      </c>
      <c r="E28" s="9" t="str">
        <f>'PA Zones'!A3</f>
        <v>Outside</v>
      </c>
      <c r="F28" s="9" t="s">
        <v>32</v>
      </c>
      <c r="G28" s="9" t="s">
        <v>32</v>
      </c>
      <c r="H28" s="9" t="str">
        <f>Objects!C400</f>
        <v>Stg_WebServicesPCIData1_NAT</v>
      </c>
      <c r="I28" s="9" t="s">
        <v>32</v>
      </c>
      <c r="J28" s="9" t="s">
        <v>253</v>
      </c>
      <c r="K28" s="9" t="str">
        <f>Objects!C242</f>
        <v>WSPCIDATA1</v>
      </c>
    </row>
    <row r="29" spans="2:13" x14ac:dyDescent="0.25">
      <c r="B29" s="9" t="str">
        <f>Objects!C243</f>
        <v>WSPCIDMZ1</v>
      </c>
      <c r="C29" s="9"/>
      <c r="D29" s="9" t="str">
        <f>'PA Zones'!A3</f>
        <v>Outside</v>
      </c>
      <c r="E29" s="9" t="str">
        <f>'PA Zones'!A3</f>
        <v>Outside</v>
      </c>
      <c r="F29" s="9" t="s">
        <v>32</v>
      </c>
      <c r="G29" s="9" t="s">
        <v>32</v>
      </c>
      <c r="H29" s="9" t="str">
        <f>Objects!C401</f>
        <v>Stg_WebServicesPCIDMZ1_NAT</v>
      </c>
      <c r="I29" s="9" t="s">
        <v>32</v>
      </c>
      <c r="J29" s="9" t="s">
        <v>253</v>
      </c>
      <c r="K29" s="9" t="str">
        <f>Objects!C243</f>
        <v>WSPCIDMZ1</v>
      </c>
    </row>
    <row r="30" spans="2:13" x14ac:dyDescent="0.25">
      <c r="B30" s="6" t="str">
        <f>Objects!C407</f>
        <v>servicespci.concordsoftwareleasing.com</v>
      </c>
      <c r="C30" s="5"/>
      <c r="D30" s="6" t="str">
        <f>'PA Zones'!A3</f>
        <v>Outside</v>
      </c>
      <c r="E30" s="6" t="str">
        <f>'PA Zones'!A3</f>
        <v>Outside</v>
      </c>
      <c r="F30" s="6" t="s">
        <v>32</v>
      </c>
      <c r="G30" s="9" t="s">
        <v>32</v>
      </c>
      <c r="H30" s="6" t="str">
        <f>Objects!C412</f>
        <v>Stg_CSL_PCIData_NAT</v>
      </c>
      <c r="I30" s="9" t="s">
        <v>32</v>
      </c>
      <c r="J30" s="11" t="s">
        <v>253</v>
      </c>
      <c r="K30" t="str">
        <f>Objects!C407</f>
        <v>servicespci.concordsoftwareleasing.com</v>
      </c>
      <c r="L30" s="5"/>
      <c r="M30" s="5"/>
    </row>
    <row r="31" spans="2:13" x14ac:dyDescent="0.25">
      <c r="B31" s="6" t="str">
        <f>Objects!C408</f>
        <v>servicespci.concordservicing.com</v>
      </c>
      <c r="C31" s="5"/>
      <c r="D31" s="6" t="str">
        <f>'PA Zones'!A3</f>
        <v>Outside</v>
      </c>
      <c r="E31" s="6" t="str">
        <f>'PA Zones'!A3</f>
        <v>Outside</v>
      </c>
      <c r="F31" s="6" t="s">
        <v>32</v>
      </c>
      <c r="G31" s="9" t="s">
        <v>32</v>
      </c>
      <c r="H31" s="6" t="str">
        <f>Objects!C413</f>
        <v>Stg_CSC_PCIData_NAT</v>
      </c>
      <c r="I31" s="9" t="s">
        <v>32</v>
      </c>
      <c r="J31" s="9" t="s">
        <v>253</v>
      </c>
      <c r="K31" t="str">
        <f>Objects!C408</f>
        <v>servicespci.concordservicing.com</v>
      </c>
      <c r="L31" s="5"/>
      <c r="M31" s="5"/>
    </row>
    <row r="32" spans="2:13" x14ac:dyDescent="0.25">
      <c r="B32" s="6" t="str">
        <f>Objects!C409</f>
        <v>servicespxy.concordsoftwareleasing.com</v>
      </c>
      <c r="C32" s="5"/>
      <c r="D32" s="6" t="str">
        <f>'PA Zones'!A3</f>
        <v>Outside</v>
      </c>
      <c r="E32" s="6" t="str">
        <f>'PA Zones'!A3</f>
        <v>Outside</v>
      </c>
      <c r="F32" s="6" t="s">
        <v>32</v>
      </c>
      <c r="G32" s="9" t="s">
        <v>32</v>
      </c>
      <c r="H32" s="6" t="str">
        <f>Objects!C414</f>
        <v>Stg_CSL_PCIDMZ_NAT</v>
      </c>
      <c r="I32" s="9" t="s">
        <v>32</v>
      </c>
      <c r="J32" s="9" t="s">
        <v>253</v>
      </c>
      <c r="K32" t="str">
        <f>Objects!C409</f>
        <v>servicespxy.concordsoftwareleasing.com</v>
      </c>
      <c r="L32" s="5"/>
      <c r="M32" s="5"/>
    </row>
    <row r="33" spans="1:11" s="6" customFormat="1" x14ac:dyDescent="0.25">
      <c r="A33" s="14" t="s">
        <v>1748</v>
      </c>
      <c r="B33" s="11" t="str">
        <f>Objects!C410</f>
        <v>WebIOProxy</v>
      </c>
      <c r="C33" s="11"/>
      <c r="D33" s="11" t="str">
        <f>'PA Zones'!A3</f>
        <v>Outside</v>
      </c>
      <c r="E33" s="11" t="str">
        <f>'PA Zones'!A3</f>
        <v>Outside</v>
      </c>
      <c r="F33" s="11" t="s">
        <v>32</v>
      </c>
      <c r="G33" s="11" t="s">
        <v>32</v>
      </c>
      <c r="H33" s="11" t="str">
        <f>Objects!C417</f>
        <v>WebIOProxy_NAT</v>
      </c>
      <c r="I33" s="11" t="s">
        <v>32</v>
      </c>
      <c r="J33" s="11" t="s">
        <v>253</v>
      </c>
      <c r="K33" s="11"/>
    </row>
    <row r="34" spans="1:11" x14ac:dyDescent="0.25">
      <c r="B34" t="str">
        <f>Objects!C405</f>
        <v>CSL.com</v>
      </c>
      <c r="D34" t="str">
        <f>'PA Zones'!A3</f>
        <v>Outside</v>
      </c>
      <c r="E34" t="str">
        <f>'PA Zones'!A3</f>
        <v>Outside</v>
      </c>
      <c r="F34" s="6" t="s">
        <v>32</v>
      </c>
      <c r="G34" s="6" t="s">
        <v>32</v>
      </c>
      <c r="H34" t="str">
        <f>Objects!C411</f>
        <v>Stg_CSL_NAT</v>
      </c>
      <c r="I34" t="s">
        <v>32</v>
      </c>
      <c r="J34" t="s">
        <v>253</v>
      </c>
      <c r="K34" t="str">
        <f>Objects!C405</f>
        <v>CSL.com</v>
      </c>
    </row>
    <row r="35" spans="1:11" x14ac:dyDescent="0.25">
      <c r="B35" s="5" t="str">
        <f>Objects!C403</f>
        <v>MAI.com</v>
      </c>
      <c r="D35" t="s">
        <v>113</v>
      </c>
      <c r="E35" t="s">
        <v>113</v>
      </c>
      <c r="F35" s="6" t="s">
        <v>32</v>
      </c>
      <c r="G35" s="9" t="s">
        <v>32</v>
      </c>
      <c r="H35" t="str">
        <f>Objects!C415</f>
        <v>Stg_MAI_NAT</v>
      </c>
      <c r="I35" s="9" t="s">
        <v>32</v>
      </c>
      <c r="J35" t="s">
        <v>253</v>
      </c>
      <c r="K35" t="str">
        <f>Objects!C403</f>
        <v>MAI.com</v>
      </c>
    </row>
    <row r="36" spans="1:11" x14ac:dyDescent="0.25">
      <c r="B36" s="5" t="str">
        <f>Objects!C404</f>
        <v>PBW.com</v>
      </c>
      <c r="D36" t="s">
        <v>113</v>
      </c>
      <c r="E36" t="s">
        <v>113</v>
      </c>
      <c r="F36" s="6" t="s">
        <v>32</v>
      </c>
      <c r="G36" s="9" t="s">
        <v>32</v>
      </c>
      <c r="H36" t="str">
        <f>Objects!C416</f>
        <v>Stg_PB_NAT</v>
      </c>
      <c r="I36" s="9" t="s">
        <v>32</v>
      </c>
      <c r="J36" t="s">
        <v>253</v>
      </c>
      <c r="K36" t="str">
        <f>Objects!C404</f>
        <v>PBW.com</v>
      </c>
    </row>
  </sheetData>
  <mergeCells count="4">
    <mergeCell ref="D1:I1"/>
    <mergeCell ref="J1:K1"/>
    <mergeCell ref="B1:B2"/>
    <mergeCell ref="C1:C2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52"/>
  <sheetViews>
    <sheetView workbookViewId="0">
      <pane ySplit="2" topLeftCell="A3" activePane="bottomLeft" state="frozen"/>
      <selection pane="bottomLeft" activeCell="C240" sqref="C240"/>
    </sheetView>
  </sheetViews>
  <sheetFormatPr defaultRowHeight="15" x14ac:dyDescent="0.25"/>
  <cols>
    <col min="1" max="1" width="45.140625" style="23" bestFit="1" customWidth="1"/>
    <col min="2" max="2" width="41.42578125" style="25" bestFit="1" customWidth="1"/>
    <col min="3" max="3" width="26.7109375" customWidth="1"/>
    <col min="4" max="4" width="13.85546875" style="12" bestFit="1" customWidth="1"/>
  </cols>
  <sheetData>
    <row r="1" spans="1:6" s="13" customFormat="1" x14ac:dyDescent="0.25">
      <c r="A1" s="22"/>
      <c r="B1" s="24"/>
      <c r="D1" s="16"/>
    </row>
    <row r="2" spans="1:6" s="13" customFormat="1" x14ac:dyDescent="0.25">
      <c r="A2" s="22" t="s">
        <v>1452</v>
      </c>
      <c r="B2" s="24" t="s">
        <v>1453</v>
      </c>
      <c r="C2" s="13" t="s">
        <v>1418</v>
      </c>
      <c r="D2" s="16" t="s">
        <v>1417</v>
      </c>
    </row>
    <row r="3" spans="1:6" x14ac:dyDescent="0.25">
      <c r="A3" s="23" t="s">
        <v>261</v>
      </c>
      <c r="B3" s="25">
        <v>5672</v>
      </c>
      <c r="C3" t="s">
        <v>1616</v>
      </c>
      <c r="D3" s="12" t="str">
        <f>Applications!B18</f>
        <v>Rabbit_5672</v>
      </c>
    </row>
    <row r="4" spans="1:6" x14ac:dyDescent="0.25">
      <c r="B4" s="25">
        <v>15672</v>
      </c>
      <c r="D4" s="12" t="str">
        <f>Applications!B19</f>
        <v>Rabbit_15672</v>
      </c>
    </row>
    <row r="7" spans="1:6" x14ac:dyDescent="0.25">
      <c r="A7" s="23" t="s">
        <v>262</v>
      </c>
      <c r="B7" s="25">
        <v>25400</v>
      </c>
      <c r="C7" t="s">
        <v>1394</v>
      </c>
      <c r="D7" s="12" t="str">
        <f>Applications!B3</f>
        <v>CSS_2540</v>
      </c>
      <c r="F7" s="12"/>
    </row>
    <row r="8" spans="1:6" x14ac:dyDescent="0.25">
      <c r="B8" s="25">
        <v>25401</v>
      </c>
      <c r="D8" s="12" t="str">
        <f>Applications!B4</f>
        <v>CSS_25401</v>
      </c>
      <c r="F8" s="12"/>
    </row>
    <row r="9" spans="1:6" x14ac:dyDescent="0.25">
      <c r="B9" s="25">
        <v>25402</v>
      </c>
      <c r="D9" s="12" t="str">
        <f>Applications!B5</f>
        <v>CSS_25402</v>
      </c>
      <c r="F9" s="12"/>
    </row>
    <row r="10" spans="1:6" x14ac:dyDescent="0.25">
      <c r="B10" s="25">
        <v>25403</v>
      </c>
      <c r="D10" s="12" t="str">
        <f>Applications!B6</f>
        <v>CSS_25403</v>
      </c>
      <c r="F10" s="12"/>
    </row>
    <row r="11" spans="1:6" x14ac:dyDescent="0.25">
      <c r="B11" s="25">
        <v>25404</v>
      </c>
      <c r="D11" s="12" t="str">
        <f>Applications!B7</f>
        <v>CSS_25404</v>
      </c>
      <c r="F11" s="12"/>
    </row>
    <row r="12" spans="1:6" x14ac:dyDescent="0.25">
      <c r="B12" s="25">
        <v>25405</v>
      </c>
      <c r="D12" s="12" t="str">
        <f>Applications!B8</f>
        <v>CSS_25405</v>
      </c>
      <c r="F12" s="12"/>
    </row>
    <row r="13" spans="1:6" x14ac:dyDescent="0.25">
      <c r="B13" s="25">
        <v>25406</v>
      </c>
      <c r="D13" s="12" t="str">
        <f>Applications!B9</f>
        <v>CSS_25406</v>
      </c>
      <c r="F13" s="12"/>
    </row>
    <row r="14" spans="1:6" x14ac:dyDescent="0.25">
      <c r="B14" s="25">
        <v>25407</v>
      </c>
      <c r="D14" s="12" t="str">
        <f>Applications!B10</f>
        <v>CSS_25407</v>
      </c>
      <c r="F14" s="12"/>
    </row>
    <row r="15" spans="1:6" x14ac:dyDescent="0.25">
      <c r="B15" s="25">
        <v>25408</v>
      </c>
      <c r="D15" s="12" t="str">
        <f>Applications!B11</f>
        <v>CSS_25408</v>
      </c>
      <c r="F15" s="12"/>
    </row>
    <row r="16" spans="1:6" x14ac:dyDescent="0.25">
      <c r="B16" s="25">
        <v>8401</v>
      </c>
      <c r="D16" s="12" t="str">
        <f>Applications!B12</f>
        <v>CSS_8401</v>
      </c>
      <c r="F16" s="12"/>
    </row>
    <row r="17" spans="1:6" x14ac:dyDescent="0.25">
      <c r="B17" s="25">
        <v>8787</v>
      </c>
      <c r="D17" s="12" t="str">
        <f>Applications!B13</f>
        <v>CSS_8787</v>
      </c>
      <c r="F17" s="12"/>
    </row>
    <row r="18" spans="1:6" x14ac:dyDescent="0.25">
      <c r="F18" s="12"/>
    </row>
    <row r="19" spans="1:6" x14ac:dyDescent="0.25">
      <c r="F19" s="12"/>
    </row>
    <row r="20" spans="1:6" x14ac:dyDescent="0.25">
      <c r="A20" s="23" t="s">
        <v>263</v>
      </c>
      <c r="B20" s="25">
        <v>135</v>
      </c>
      <c r="C20" t="s">
        <v>1415</v>
      </c>
      <c r="D20" s="12" t="str">
        <f>Applications!B14</f>
        <v>PHXV_135</v>
      </c>
      <c r="F20" s="12"/>
    </row>
    <row r="21" spans="1:6" x14ac:dyDescent="0.25">
      <c r="B21" s="25">
        <v>1433</v>
      </c>
      <c r="D21" s="18" t="s">
        <v>1419</v>
      </c>
      <c r="F21" s="12"/>
    </row>
    <row r="22" spans="1:6" x14ac:dyDescent="0.25">
      <c r="B22" s="25">
        <v>22603</v>
      </c>
      <c r="D22" s="12" t="str">
        <f>Applications!B15</f>
        <v>PHXV_22603</v>
      </c>
      <c r="F22" s="12"/>
    </row>
    <row r="23" spans="1:6" x14ac:dyDescent="0.25">
      <c r="F23" s="12"/>
    </row>
    <row r="24" spans="1:6" x14ac:dyDescent="0.25">
      <c r="A24" s="23" t="s">
        <v>264</v>
      </c>
      <c r="B24" s="25">
        <v>22701</v>
      </c>
      <c r="C24" t="s">
        <v>1416</v>
      </c>
      <c r="D24" s="12" t="str">
        <f>Applications!B16</f>
        <v>SQLIOS_22701</v>
      </c>
      <c r="F24" s="12"/>
    </row>
    <row r="27" spans="1:6" x14ac:dyDescent="0.25">
      <c r="A27" s="23" t="s">
        <v>265</v>
      </c>
      <c r="B27" s="25" t="s">
        <v>617</v>
      </c>
    </row>
    <row r="28" spans="1:6" x14ac:dyDescent="0.25">
      <c r="B28" s="25" t="s">
        <v>618</v>
      </c>
    </row>
    <row r="31" spans="1:6" x14ac:dyDescent="0.25">
      <c r="A31" s="23" t="s">
        <v>266</v>
      </c>
      <c r="B31" s="25" t="s">
        <v>619</v>
      </c>
    </row>
    <row r="32" spans="1:6" x14ac:dyDescent="0.25">
      <c r="B32" s="25" t="s">
        <v>620</v>
      </c>
    </row>
    <row r="33" spans="1:2" x14ac:dyDescent="0.25">
      <c r="B33" s="25" t="s">
        <v>618</v>
      </c>
    </row>
    <row r="36" spans="1:2" x14ac:dyDescent="0.25">
      <c r="A36" s="23" t="s">
        <v>267</v>
      </c>
      <c r="B36" s="25" t="s">
        <v>621</v>
      </c>
    </row>
    <row r="37" spans="1:2" x14ac:dyDescent="0.25">
      <c r="B37" s="25" t="s">
        <v>622</v>
      </c>
    </row>
    <row r="38" spans="1:2" x14ac:dyDescent="0.25">
      <c r="B38" s="25" t="s">
        <v>625</v>
      </c>
    </row>
    <row r="41" spans="1:2" x14ac:dyDescent="0.25">
      <c r="A41" s="23" t="s">
        <v>268</v>
      </c>
      <c r="B41" s="25" t="s">
        <v>626</v>
      </c>
    </row>
    <row r="42" spans="1:2" x14ac:dyDescent="0.25">
      <c r="B42" s="25" t="s">
        <v>617</v>
      </c>
    </row>
    <row r="45" spans="1:2" x14ac:dyDescent="0.25">
      <c r="A45" s="23" t="s">
        <v>269</v>
      </c>
      <c r="B45" s="25" t="s">
        <v>619</v>
      </c>
    </row>
    <row r="46" spans="1:2" x14ac:dyDescent="0.25">
      <c r="B46" s="25" t="s">
        <v>620</v>
      </c>
    </row>
    <row r="47" spans="1:2" x14ac:dyDescent="0.25">
      <c r="B47" s="25" t="s">
        <v>618</v>
      </c>
    </row>
    <row r="48" spans="1:2" x14ac:dyDescent="0.25">
      <c r="B48" s="25">
        <v>990</v>
      </c>
    </row>
    <row r="50" spans="1:2" x14ac:dyDescent="0.25">
      <c r="A50" s="23" t="s">
        <v>270</v>
      </c>
      <c r="B50" s="25" t="s">
        <v>619</v>
      </c>
    </row>
    <row r="51" spans="1:2" x14ac:dyDescent="0.25">
      <c r="B51" s="25" t="s">
        <v>620</v>
      </c>
    </row>
    <row r="54" spans="1:2" x14ac:dyDescent="0.25">
      <c r="A54" s="23" t="s">
        <v>222</v>
      </c>
      <c r="B54" s="25" t="s">
        <v>223</v>
      </c>
    </row>
    <row r="55" spans="1:2" x14ac:dyDescent="0.25">
      <c r="B55" s="25" t="s">
        <v>224</v>
      </c>
    </row>
    <row r="58" spans="1:2" x14ac:dyDescent="0.25">
      <c r="A58" s="23" t="s">
        <v>271</v>
      </c>
      <c r="B58" s="25" t="s">
        <v>619</v>
      </c>
    </row>
    <row r="59" spans="1:2" x14ac:dyDescent="0.25">
      <c r="B59" s="25" t="s">
        <v>620</v>
      </c>
    </row>
    <row r="62" spans="1:2" x14ac:dyDescent="0.25">
      <c r="A62" s="23" t="s">
        <v>272</v>
      </c>
      <c r="B62" s="25" t="s">
        <v>619</v>
      </c>
    </row>
    <row r="63" spans="1:2" x14ac:dyDescent="0.25">
      <c r="B63" s="25" t="s">
        <v>620</v>
      </c>
    </row>
    <row r="65" spans="1:2" x14ac:dyDescent="0.25">
      <c r="A65" s="23" t="s">
        <v>273</v>
      </c>
      <c r="B65" s="25" t="s">
        <v>619</v>
      </c>
    </row>
    <row r="66" spans="1:2" x14ac:dyDescent="0.25">
      <c r="B66" s="25" t="s">
        <v>620</v>
      </c>
    </row>
    <row r="68" spans="1:2" x14ac:dyDescent="0.25">
      <c r="A68" s="23" t="s">
        <v>274</v>
      </c>
      <c r="B68" s="25" t="s">
        <v>619</v>
      </c>
    </row>
    <row r="69" spans="1:2" x14ac:dyDescent="0.25">
      <c r="B69" s="25" t="s">
        <v>620</v>
      </c>
    </row>
    <row r="71" spans="1:2" x14ac:dyDescent="0.25">
      <c r="A71" s="23" t="s">
        <v>275</v>
      </c>
      <c r="B71" s="25" t="s">
        <v>619</v>
      </c>
    </row>
    <row r="72" spans="1:2" x14ac:dyDescent="0.25">
      <c r="B72" s="25" t="s">
        <v>620</v>
      </c>
    </row>
    <row r="74" spans="1:2" x14ac:dyDescent="0.25">
      <c r="A74" s="23" t="s">
        <v>276</v>
      </c>
      <c r="B74" s="25" t="s">
        <v>619</v>
      </c>
    </row>
    <row r="75" spans="1:2" x14ac:dyDescent="0.25">
      <c r="B75" s="25" t="s">
        <v>620</v>
      </c>
    </row>
    <row r="77" spans="1:2" x14ac:dyDescent="0.25">
      <c r="A77" s="23" t="s">
        <v>277</v>
      </c>
      <c r="B77" s="25" t="s">
        <v>619</v>
      </c>
    </row>
    <row r="78" spans="1:2" x14ac:dyDescent="0.25">
      <c r="B78" s="25" t="s">
        <v>620</v>
      </c>
    </row>
    <row r="81" spans="1:2" x14ac:dyDescent="0.25">
      <c r="A81" s="23" t="s">
        <v>278</v>
      </c>
      <c r="B81" s="25" t="s">
        <v>619</v>
      </c>
    </row>
    <row r="82" spans="1:2" x14ac:dyDescent="0.25">
      <c r="B82" s="25" t="s">
        <v>620</v>
      </c>
    </row>
    <row r="84" spans="1:2" x14ac:dyDescent="0.25">
      <c r="A84" s="23" t="s">
        <v>279</v>
      </c>
      <c r="B84" s="25">
        <v>15672</v>
      </c>
    </row>
    <row r="86" spans="1:2" x14ac:dyDescent="0.25">
      <c r="A86" s="23" t="s">
        <v>280</v>
      </c>
      <c r="B86" s="25" t="s">
        <v>619</v>
      </c>
    </row>
    <row r="87" spans="1:2" x14ac:dyDescent="0.25">
      <c r="B87" s="25" t="s">
        <v>620</v>
      </c>
    </row>
    <row r="90" spans="1:2" x14ac:dyDescent="0.25">
      <c r="A90" s="23" t="s">
        <v>281</v>
      </c>
      <c r="B90" s="25" t="s">
        <v>619</v>
      </c>
    </row>
    <row r="91" spans="1:2" x14ac:dyDescent="0.25">
      <c r="B91" s="25" t="s">
        <v>620</v>
      </c>
    </row>
    <row r="93" spans="1:2" x14ac:dyDescent="0.25">
      <c r="A93" s="23" t="s">
        <v>282</v>
      </c>
      <c r="B93" s="25" t="s">
        <v>620</v>
      </c>
    </row>
    <row r="94" spans="1:2" x14ac:dyDescent="0.25">
      <c r="B94" s="25" t="s">
        <v>618</v>
      </c>
    </row>
    <row r="96" spans="1:2" x14ac:dyDescent="0.25">
      <c r="A96" s="23" t="s">
        <v>283</v>
      </c>
      <c r="B96" s="25" t="s">
        <v>620</v>
      </c>
    </row>
    <row r="97" spans="1:2" x14ac:dyDescent="0.25">
      <c r="B97" s="25" t="s">
        <v>618</v>
      </c>
    </row>
    <row r="99" spans="1:2" x14ac:dyDescent="0.25">
      <c r="A99" s="23" t="s">
        <v>284</v>
      </c>
      <c r="B99" s="25" t="s">
        <v>619</v>
      </c>
    </row>
    <row r="100" spans="1:2" x14ac:dyDescent="0.25">
      <c r="B100" s="25" t="s">
        <v>620</v>
      </c>
    </row>
    <row r="103" spans="1:2" x14ac:dyDescent="0.25">
      <c r="A103" s="23" t="s">
        <v>285</v>
      </c>
      <c r="B103" s="25" t="s">
        <v>619</v>
      </c>
    </row>
    <row r="104" spans="1:2" x14ac:dyDescent="0.25">
      <c r="B104" s="25" t="s">
        <v>620</v>
      </c>
    </row>
    <row r="106" spans="1:2" x14ac:dyDescent="0.25">
      <c r="A106" s="23" t="s">
        <v>286</v>
      </c>
      <c r="B106" s="25" t="s">
        <v>619</v>
      </c>
    </row>
    <row r="107" spans="1:2" x14ac:dyDescent="0.25">
      <c r="B107" s="25" t="s">
        <v>620</v>
      </c>
    </row>
    <row r="109" spans="1:2" x14ac:dyDescent="0.25">
      <c r="A109" s="23" t="s">
        <v>287</v>
      </c>
      <c r="B109" s="25" t="s">
        <v>619</v>
      </c>
    </row>
    <row r="110" spans="1:2" x14ac:dyDescent="0.25">
      <c r="B110" s="25" t="s">
        <v>620</v>
      </c>
    </row>
    <row r="112" spans="1:2" x14ac:dyDescent="0.25">
      <c r="A112" s="23" t="s">
        <v>288</v>
      </c>
      <c r="B112" s="25" t="s">
        <v>620</v>
      </c>
    </row>
    <row r="113" spans="1:2" x14ac:dyDescent="0.25">
      <c r="B113" s="25" t="s">
        <v>618</v>
      </c>
    </row>
    <row r="116" spans="1:2" x14ac:dyDescent="0.25">
      <c r="A116" s="23" t="s">
        <v>289</v>
      </c>
      <c r="B116" s="25" t="s">
        <v>225</v>
      </c>
    </row>
    <row r="117" spans="1:2" x14ac:dyDescent="0.25">
      <c r="B117" s="25" t="s">
        <v>226</v>
      </c>
    </row>
    <row r="118" spans="1:2" x14ac:dyDescent="0.25">
      <c r="B118" s="25" t="s">
        <v>227</v>
      </c>
    </row>
    <row r="119" spans="1:2" x14ac:dyDescent="0.25">
      <c r="B119" s="25" t="s">
        <v>228</v>
      </c>
    </row>
    <row r="121" spans="1:2" x14ac:dyDescent="0.25">
      <c r="A121" s="23" t="s">
        <v>290</v>
      </c>
      <c r="B121" s="25" t="s">
        <v>619</v>
      </c>
    </row>
    <row r="122" spans="1:2" x14ac:dyDescent="0.25">
      <c r="B122" s="25" t="s">
        <v>620</v>
      </c>
    </row>
    <row r="125" spans="1:2" x14ac:dyDescent="0.25">
      <c r="A125" s="23" t="s">
        <v>291</v>
      </c>
      <c r="B125" s="25" t="s">
        <v>619</v>
      </c>
    </row>
    <row r="126" spans="1:2" x14ac:dyDescent="0.25">
      <c r="B126" s="25" t="s">
        <v>620</v>
      </c>
    </row>
    <row r="128" spans="1:2" x14ac:dyDescent="0.25">
      <c r="A128" s="23" t="s">
        <v>292</v>
      </c>
      <c r="B128" s="25" t="s">
        <v>619</v>
      </c>
    </row>
    <row r="129" spans="1:2" x14ac:dyDescent="0.25">
      <c r="B129" s="25" t="s">
        <v>620</v>
      </c>
    </row>
    <row r="131" spans="1:2" x14ac:dyDescent="0.25">
      <c r="A131" s="23" t="s">
        <v>293</v>
      </c>
      <c r="B131" s="25" t="s">
        <v>619</v>
      </c>
    </row>
    <row r="132" spans="1:2" x14ac:dyDescent="0.25">
      <c r="B132" s="25" t="s">
        <v>620</v>
      </c>
    </row>
    <row r="134" spans="1:2" x14ac:dyDescent="0.25">
      <c r="A134" s="23" t="s">
        <v>294</v>
      </c>
      <c r="B134" s="25" t="s">
        <v>619</v>
      </c>
    </row>
    <row r="135" spans="1:2" x14ac:dyDescent="0.25">
      <c r="B135" s="25" t="s">
        <v>620</v>
      </c>
    </row>
    <row r="137" spans="1:2" x14ac:dyDescent="0.25">
      <c r="A137" s="23" t="s">
        <v>295</v>
      </c>
      <c r="B137" s="25" t="s">
        <v>620</v>
      </c>
    </row>
    <row r="138" spans="1:2" x14ac:dyDescent="0.25">
      <c r="B138" s="25" t="s">
        <v>618</v>
      </c>
    </row>
    <row r="140" spans="1:2" x14ac:dyDescent="0.25">
      <c r="A140" s="23" t="s">
        <v>296</v>
      </c>
      <c r="B140" s="25" t="s">
        <v>619</v>
      </c>
    </row>
    <row r="141" spans="1:2" x14ac:dyDescent="0.25">
      <c r="B141" s="25" t="s">
        <v>620</v>
      </c>
    </row>
    <row r="143" spans="1:2" x14ac:dyDescent="0.25">
      <c r="A143" s="23" t="s">
        <v>297</v>
      </c>
      <c r="B143" s="25" t="s">
        <v>619</v>
      </c>
    </row>
    <row r="144" spans="1:2" x14ac:dyDescent="0.25">
      <c r="B144" s="25" t="s">
        <v>620</v>
      </c>
    </row>
    <row r="146" spans="1:2" x14ac:dyDescent="0.25">
      <c r="A146" s="23" t="s">
        <v>298</v>
      </c>
      <c r="B146" s="25" t="s">
        <v>619</v>
      </c>
    </row>
    <row r="147" spans="1:2" x14ac:dyDescent="0.25">
      <c r="B147" s="25" t="s">
        <v>620</v>
      </c>
    </row>
    <row r="148" spans="1:2" x14ac:dyDescent="0.25">
      <c r="B148" s="25" t="s">
        <v>229</v>
      </c>
    </row>
    <row r="150" spans="1:2" x14ac:dyDescent="0.25">
      <c r="A150" s="23" t="s">
        <v>299</v>
      </c>
      <c r="B150" s="25" t="s">
        <v>229</v>
      </c>
    </row>
    <row r="151" spans="1:2" x14ac:dyDescent="0.25">
      <c r="B151" s="25" t="s">
        <v>619</v>
      </c>
    </row>
    <row r="152" spans="1:2" x14ac:dyDescent="0.25">
      <c r="B152" s="25" t="s">
        <v>620</v>
      </c>
    </row>
    <row r="154" spans="1:2" x14ac:dyDescent="0.25">
      <c r="A154" s="23" t="s">
        <v>300</v>
      </c>
      <c r="B154" s="25" t="s">
        <v>619</v>
      </c>
    </row>
    <row r="155" spans="1:2" x14ac:dyDescent="0.25">
      <c r="B155" s="25" t="s">
        <v>620</v>
      </c>
    </row>
    <row r="157" spans="1:2" x14ac:dyDescent="0.25">
      <c r="A157" s="23" t="s">
        <v>301</v>
      </c>
      <c r="B157" s="25" t="s">
        <v>619</v>
      </c>
    </row>
    <row r="158" spans="1:2" x14ac:dyDescent="0.25">
      <c r="B158" s="25" t="s">
        <v>620</v>
      </c>
    </row>
    <row r="160" spans="1:2" x14ac:dyDescent="0.25">
      <c r="A160" s="23" t="s">
        <v>302</v>
      </c>
      <c r="B160" s="25" t="s">
        <v>620</v>
      </c>
    </row>
    <row r="161" spans="1:2" x14ac:dyDescent="0.25">
      <c r="B161" s="25" t="s">
        <v>618</v>
      </c>
    </row>
    <row r="164" spans="1:2" x14ac:dyDescent="0.25">
      <c r="A164" s="23" t="s">
        <v>303</v>
      </c>
      <c r="B164" s="25" t="s">
        <v>619</v>
      </c>
    </row>
    <row r="165" spans="1:2" x14ac:dyDescent="0.25">
      <c r="B165" s="25" t="s">
        <v>620</v>
      </c>
    </row>
    <row r="167" spans="1:2" x14ac:dyDescent="0.25">
      <c r="A167" s="23" t="s">
        <v>304</v>
      </c>
      <c r="B167" s="25" t="s">
        <v>619</v>
      </c>
    </row>
    <row r="168" spans="1:2" x14ac:dyDescent="0.25">
      <c r="B168" s="25" t="s">
        <v>620</v>
      </c>
    </row>
    <row r="170" spans="1:2" x14ac:dyDescent="0.25">
      <c r="A170" s="23" t="s">
        <v>305</v>
      </c>
      <c r="B170" s="25" t="s">
        <v>619</v>
      </c>
    </row>
    <row r="171" spans="1:2" x14ac:dyDescent="0.25">
      <c r="B171" s="25" t="s">
        <v>620</v>
      </c>
    </row>
    <row r="173" spans="1:2" x14ac:dyDescent="0.25">
      <c r="A173" s="23" t="s">
        <v>306</v>
      </c>
      <c r="B173" s="25" t="s">
        <v>619</v>
      </c>
    </row>
    <row r="174" spans="1:2" x14ac:dyDescent="0.25">
      <c r="B174" s="25" t="s">
        <v>620</v>
      </c>
    </row>
    <row r="176" spans="1:2" x14ac:dyDescent="0.25">
      <c r="A176" s="23" t="s">
        <v>307</v>
      </c>
      <c r="B176" s="25" t="s">
        <v>619</v>
      </c>
    </row>
    <row r="177" spans="1:2" x14ac:dyDescent="0.25">
      <c r="B177" s="25" t="s">
        <v>620</v>
      </c>
    </row>
    <row r="179" spans="1:2" x14ac:dyDescent="0.25">
      <c r="A179" s="23" t="s">
        <v>308</v>
      </c>
      <c r="B179" s="25" t="s">
        <v>619</v>
      </c>
    </row>
    <row r="180" spans="1:2" x14ac:dyDescent="0.25">
      <c r="B180" s="25" t="s">
        <v>620</v>
      </c>
    </row>
    <row r="183" spans="1:2" x14ac:dyDescent="0.25">
      <c r="A183" s="23" t="s">
        <v>309</v>
      </c>
      <c r="B183" s="25" t="s">
        <v>620</v>
      </c>
    </row>
    <row r="184" spans="1:2" x14ac:dyDescent="0.25">
      <c r="B184" s="25" t="s">
        <v>618</v>
      </c>
    </row>
    <row r="187" spans="1:2" x14ac:dyDescent="0.25">
      <c r="A187" s="23" t="s">
        <v>310</v>
      </c>
      <c r="B187" s="25" t="s">
        <v>619</v>
      </c>
    </row>
    <row r="188" spans="1:2" x14ac:dyDescent="0.25">
      <c r="B188" s="25" t="s">
        <v>620</v>
      </c>
    </row>
    <row r="191" spans="1:2" x14ac:dyDescent="0.25">
      <c r="A191" s="23" t="s">
        <v>311</v>
      </c>
      <c r="B191" s="25" t="s">
        <v>619</v>
      </c>
    </row>
    <row r="192" spans="1:2" x14ac:dyDescent="0.25">
      <c r="B192" s="25" t="s">
        <v>620</v>
      </c>
    </row>
    <row r="195" spans="1:2" x14ac:dyDescent="0.25">
      <c r="A195" s="23" t="s">
        <v>312</v>
      </c>
      <c r="B195" s="25" t="s">
        <v>619</v>
      </c>
    </row>
    <row r="196" spans="1:2" x14ac:dyDescent="0.25">
      <c r="B196" s="25" t="s">
        <v>620</v>
      </c>
    </row>
    <row r="199" spans="1:2" x14ac:dyDescent="0.25">
      <c r="A199" s="23" t="s">
        <v>313</v>
      </c>
      <c r="B199" s="25">
        <v>10389</v>
      </c>
    </row>
    <row r="200" spans="1:2" x14ac:dyDescent="0.25">
      <c r="B200" s="25">
        <v>10636</v>
      </c>
    </row>
    <row r="202" spans="1:2" x14ac:dyDescent="0.25">
      <c r="A202" s="23" t="s">
        <v>92</v>
      </c>
      <c r="B202" s="25" t="s">
        <v>230</v>
      </c>
    </row>
    <row r="204" spans="1:2" x14ac:dyDescent="0.25">
      <c r="A204" s="23" t="s">
        <v>314</v>
      </c>
      <c r="B204" s="25" t="s">
        <v>229</v>
      </c>
    </row>
    <row r="205" spans="1:2" x14ac:dyDescent="0.25">
      <c r="B205" s="25" t="s">
        <v>619</v>
      </c>
    </row>
    <row r="206" spans="1:2" x14ac:dyDescent="0.25">
      <c r="B206" s="25" t="s">
        <v>620</v>
      </c>
    </row>
    <row r="208" spans="1:2" x14ac:dyDescent="0.25">
      <c r="A208" s="23" t="s">
        <v>315</v>
      </c>
      <c r="B208" s="25" t="s">
        <v>623</v>
      </c>
    </row>
    <row r="209" spans="1:2" x14ac:dyDescent="0.25">
      <c r="B209" s="25" t="s">
        <v>624</v>
      </c>
    </row>
    <row r="212" spans="1:2" x14ac:dyDescent="0.25">
      <c r="A212" s="23" t="s">
        <v>95</v>
      </c>
      <c r="B212" s="25" t="s">
        <v>231</v>
      </c>
    </row>
    <row r="213" spans="1:2" x14ac:dyDescent="0.25">
      <c r="B213" s="25" t="s">
        <v>228</v>
      </c>
    </row>
    <row r="214" spans="1:2" x14ac:dyDescent="0.25">
      <c r="B214" s="25" t="s">
        <v>232</v>
      </c>
    </row>
    <row r="215" spans="1:2" x14ac:dyDescent="0.25">
      <c r="B215" s="25" t="s">
        <v>233</v>
      </c>
    </row>
    <row r="216" spans="1:2" x14ac:dyDescent="0.25">
      <c r="B216" s="25" t="s">
        <v>234</v>
      </c>
    </row>
    <row r="219" spans="1:2" x14ac:dyDescent="0.25">
      <c r="A219" s="23" t="s">
        <v>316</v>
      </c>
      <c r="B219" s="25" t="s">
        <v>619</v>
      </c>
    </row>
    <row r="220" spans="1:2" x14ac:dyDescent="0.25">
      <c r="B220" s="25" t="s">
        <v>620</v>
      </c>
    </row>
    <row r="223" spans="1:2" x14ac:dyDescent="0.25">
      <c r="A223" s="23" t="s">
        <v>317</v>
      </c>
      <c r="B223" s="25" t="s">
        <v>235</v>
      </c>
    </row>
    <row r="224" spans="1:2" x14ac:dyDescent="0.25">
      <c r="B224" s="25" t="s">
        <v>236</v>
      </c>
    </row>
    <row r="225" spans="1:4" x14ac:dyDescent="0.25">
      <c r="B225" s="25" t="s">
        <v>237</v>
      </c>
    </row>
    <row r="227" spans="1:4" x14ac:dyDescent="0.25">
      <c r="A227" s="23" t="s">
        <v>318</v>
      </c>
      <c r="B227" s="25" t="s">
        <v>235</v>
      </c>
    </row>
    <row r="228" spans="1:4" x14ac:dyDescent="0.25">
      <c r="B228" s="25" t="s">
        <v>236</v>
      </c>
    </row>
    <row r="229" spans="1:4" x14ac:dyDescent="0.25">
      <c r="B229" s="25" t="s">
        <v>237</v>
      </c>
    </row>
    <row r="232" spans="1:4" x14ac:dyDescent="0.25">
      <c r="A232" s="23" t="s">
        <v>319</v>
      </c>
      <c r="B232" s="25" t="s">
        <v>619</v>
      </c>
    </row>
    <row r="233" spans="1:4" x14ac:dyDescent="0.25">
      <c r="B233" s="25" t="s">
        <v>620</v>
      </c>
    </row>
    <row r="235" spans="1:4" x14ac:dyDescent="0.25">
      <c r="A235" s="23" t="s">
        <v>320</v>
      </c>
      <c r="B235" s="25" t="s">
        <v>619</v>
      </c>
    </row>
    <row r="236" spans="1:4" x14ac:dyDescent="0.25">
      <c r="B236" s="25" t="s">
        <v>620</v>
      </c>
    </row>
    <row r="237" spans="1:4" x14ac:dyDescent="0.25">
      <c r="C237" t="s">
        <v>250</v>
      </c>
      <c r="D237" s="18" t="s">
        <v>1298</v>
      </c>
    </row>
    <row r="238" spans="1:4" x14ac:dyDescent="0.25">
      <c r="D238" s="12" t="str">
        <f>C240</f>
        <v>Web_Traffic</v>
      </c>
    </row>
    <row r="240" spans="1:4" x14ac:dyDescent="0.25">
      <c r="C240" t="s">
        <v>1392</v>
      </c>
      <c r="D240" s="18" t="s">
        <v>1167</v>
      </c>
    </row>
    <row r="241" spans="3:4" x14ac:dyDescent="0.25">
      <c r="D241" s="18" t="s">
        <v>1393</v>
      </c>
    </row>
    <row r="243" spans="3:4" x14ac:dyDescent="0.25">
      <c r="C243" t="s">
        <v>1420</v>
      </c>
      <c r="D243" s="18" t="s">
        <v>1167</v>
      </c>
    </row>
    <row r="244" spans="3:4" x14ac:dyDescent="0.25">
      <c r="D244" s="18" t="s">
        <v>1298</v>
      </c>
    </row>
    <row r="246" spans="3:4" x14ac:dyDescent="0.25">
      <c r="C246" t="s">
        <v>1421</v>
      </c>
      <c r="D246" s="12" t="str">
        <f>Applications!B17</f>
        <v>FTP_990</v>
      </c>
    </row>
    <row r="247" spans="3:4" x14ac:dyDescent="0.25">
      <c r="D247" s="18" t="s">
        <v>1298</v>
      </c>
    </row>
    <row r="248" spans="3:4" x14ac:dyDescent="0.25">
      <c r="D248" s="12" t="str">
        <f>C240</f>
        <v>Web_Traffic</v>
      </c>
    </row>
    <row r="250" spans="3:4" x14ac:dyDescent="0.25">
      <c r="C250" t="s">
        <v>1422</v>
      </c>
      <c r="D250" s="12" t="str">
        <f>Applications!B2</f>
        <v>Crush_9000</v>
      </c>
    </row>
    <row r="251" spans="3:4" x14ac:dyDescent="0.25">
      <c r="D251" s="40" t="s">
        <v>1811</v>
      </c>
    </row>
    <row r="252" spans="3:4" x14ac:dyDescent="0.25">
      <c r="D252" s="40" t="s">
        <v>1812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0"/>
  <sheetViews>
    <sheetView topLeftCell="A13" workbookViewId="0">
      <selection activeCell="B20" sqref="B20"/>
    </sheetView>
  </sheetViews>
  <sheetFormatPr defaultRowHeight="15" x14ac:dyDescent="0.25"/>
  <cols>
    <col min="1" max="1" width="34.7109375" style="37" bestFit="1" customWidth="1"/>
    <col min="2" max="2" width="29.28515625" bestFit="1" customWidth="1"/>
    <col min="3" max="3" width="108" style="30" customWidth="1"/>
  </cols>
  <sheetData>
    <row r="1" spans="1:3" s="13" customFormat="1" x14ac:dyDescent="0.25">
      <c r="A1" s="34" t="s">
        <v>1706</v>
      </c>
      <c r="B1" s="13" t="s">
        <v>1703</v>
      </c>
      <c r="C1" s="31" t="s">
        <v>1704</v>
      </c>
    </row>
    <row r="2" spans="1:3" x14ac:dyDescent="0.25">
      <c r="A2" s="35" t="s">
        <v>1707</v>
      </c>
      <c r="B2" s="27" t="s">
        <v>1705</v>
      </c>
      <c r="C2" s="8" t="s">
        <v>1797</v>
      </c>
    </row>
    <row r="3" spans="1:3" x14ac:dyDescent="0.25">
      <c r="A3" s="36" t="str">
        <f>'Object Groups'!A207</f>
        <v>GROUP_SQLIOS_ALLOWED</v>
      </c>
      <c r="B3" s="27" t="s">
        <v>1634</v>
      </c>
      <c r="C3" s="8" t="s">
        <v>1805</v>
      </c>
    </row>
    <row r="4" spans="1:3" ht="75" x14ac:dyDescent="0.25">
      <c r="A4" s="36" t="str">
        <f>'Object Groups'!A171</f>
        <v>GROUP_PHXV_ALLOWED</v>
      </c>
      <c r="B4" s="27" t="s">
        <v>1635</v>
      </c>
      <c r="C4" s="8" t="s">
        <v>1798</v>
      </c>
    </row>
    <row r="5" spans="1:3" x14ac:dyDescent="0.25">
      <c r="A5" s="36" t="str">
        <f>'Object Groups'!A347</f>
        <v>GROUP_PHXWH_ALLOWED</v>
      </c>
      <c r="B5" s="27" t="s">
        <v>1636</v>
      </c>
      <c r="C5" s="8" t="s">
        <v>1799</v>
      </c>
    </row>
    <row r="6" spans="1:3" ht="30" x14ac:dyDescent="0.25">
      <c r="A6" s="37" t="str">
        <f>'Object Groups'!A408&amp;CHAR(10)&amp;'Object Groups'!A163</f>
        <v>GROUP_PHXRPTS_ALLOWED
GROUP_PHXRPTV_ALLOWED</v>
      </c>
      <c r="B6" s="27" t="s">
        <v>1637</v>
      </c>
      <c r="C6" s="8" t="s">
        <v>1800</v>
      </c>
    </row>
    <row r="7" spans="1:3" ht="120" x14ac:dyDescent="0.25">
      <c r="A7" s="36" t="str">
        <f>'Object Groups'!A107</f>
        <v>GROUP_CSS_STAGING_122_ALLOWED</v>
      </c>
      <c r="B7" s="27" t="s">
        <v>1638</v>
      </c>
      <c r="C7" s="8" t="s">
        <v>1801</v>
      </c>
    </row>
    <row r="8" spans="1:3" ht="75" x14ac:dyDescent="0.25">
      <c r="A8" s="36" t="str">
        <f>'Object Groups'!A28</f>
        <v>GROUP_SCMSTAGING_ALLOWED</v>
      </c>
      <c r="B8" s="27" t="s">
        <v>1639</v>
      </c>
      <c r="C8" s="8" t="s">
        <v>1802</v>
      </c>
    </row>
    <row r="9" spans="1:3" x14ac:dyDescent="0.25">
      <c r="A9" s="36"/>
      <c r="B9" s="27" t="s">
        <v>1641</v>
      </c>
      <c r="C9" s="8"/>
    </row>
    <row r="10" spans="1:3" ht="45" x14ac:dyDescent="0.25">
      <c r="A10" s="36" t="str">
        <f>'Object Groups'!A455</f>
        <v>GROUP_CrushInternal_Users</v>
      </c>
      <c r="B10" s="27" t="s">
        <v>1643</v>
      </c>
      <c r="C10" s="8" t="s">
        <v>1803</v>
      </c>
    </row>
    <row r="11" spans="1:3" x14ac:dyDescent="0.25">
      <c r="A11" s="36"/>
      <c r="B11" s="27" t="s">
        <v>1645</v>
      </c>
      <c r="C11" s="26" t="s">
        <v>1796</v>
      </c>
    </row>
    <row r="12" spans="1:3" x14ac:dyDescent="0.25">
      <c r="A12" s="36" t="str">
        <f>'Object Groups'!A15</f>
        <v>GROUP_SQLAPPSV_ALLOWED</v>
      </c>
      <c r="B12" s="27" t="s">
        <v>1647</v>
      </c>
      <c r="C12" s="8" t="s">
        <v>1825</v>
      </c>
    </row>
    <row r="13" spans="1:3" ht="75" x14ac:dyDescent="0.25">
      <c r="A13" s="36" t="str">
        <f>'Object Groups'!A367</f>
        <v>GROUP_FTPServerCSC_ALLOWED</v>
      </c>
      <c r="B13" s="27" t="s">
        <v>1648</v>
      </c>
      <c r="C13" s="8" t="s">
        <v>1804</v>
      </c>
    </row>
    <row r="14" spans="1:3" x14ac:dyDescent="0.25">
      <c r="A14" s="36" t="str">
        <f>'Object Groups'!A344</f>
        <v>GROUP_SQLSENTRY_ALLOWED</v>
      </c>
      <c r="B14" s="27" t="s">
        <v>1652</v>
      </c>
      <c r="C14" s="14" t="s">
        <v>1825</v>
      </c>
    </row>
    <row r="15" spans="1:3" x14ac:dyDescent="0.25">
      <c r="B15" s="27" t="s">
        <v>1814</v>
      </c>
      <c r="C15" s="30" t="s">
        <v>1815</v>
      </c>
    </row>
    <row r="16" spans="1:3" x14ac:dyDescent="0.25">
      <c r="B16" s="10" t="s">
        <v>1818</v>
      </c>
      <c r="C16" s="30" t="s">
        <v>1820</v>
      </c>
    </row>
    <row r="17" spans="2:3" x14ac:dyDescent="0.25">
      <c r="B17" s="10" t="s">
        <v>1819</v>
      </c>
      <c r="C17" s="30" t="s">
        <v>1821</v>
      </c>
    </row>
    <row r="18" spans="2:3" x14ac:dyDescent="0.25">
      <c r="B18" s="11" t="s">
        <v>1824</v>
      </c>
      <c r="C18" s="14" t="s">
        <v>1825</v>
      </c>
    </row>
    <row r="20" spans="2:3" x14ac:dyDescent="0.25">
      <c r="B20" s="5" t="s">
        <v>1900</v>
      </c>
      <c r="C20" s="54" t="s">
        <v>1284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9"/>
  <sheetViews>
    <sheetView workbookViewId="0">
      <pane ySplit="1" topLeftCell="A8" activePane="bottomLeft" state="frozen"/>
      <selection pane="bottomLeft" activeCell="B35" sqref="B35"/>
    </sheetView>
  </sheetViews>
  <sheetFormatPr defaultRowHeight="15" x14ac:dyDescent="0.25"/>
  <cols>
    <col min="1" max="1" width="9.140625" style="21" bestFit="1" customWidth="1"/>
    <col min="2" max="2" width="47.5703125" bestFit="1" customWidth="1"/>
    <col min="3" max="3" width="30.42578125" bestFit="1" customWidth="1"/>
    <col min="4" max="4" width="3" bestFit="1" customWidth="1"/>
    <col min="5" max="5" width="8.140625" bestFit="1" customWidth="1"/>
    <col min="6" max="6" width="48.5703125" bestFit="1" customWidth="1"/>
    <col min="7" max="7" width="5" bestFit="1" customWidth="1"/>
    <col min="8" max="8" width="14.140625" bestFit="1" customWidth="1"/>
    <col min="9" max="9" width="117.42578125" bestFit="1" customWidth="1"/>
    <col min="10" max="10" width="14.140625" bestFit="1" customWidth="1"/>
    <col min="11" max="11" width="7" bestFit="1" customWidth="1"/>
    <col min="12" max="12" width="36.28515625" bestFit="1" customWidth="1"/>
    <col min="13" max="13" width="7" bestFit="1" customWidth="1"/>
  </cols>
  <sheetData>
    <row r="1" spans="1:13" s="13" customFormat="1" x14ac:dyDescent="0.25">
      <c r="A1" s="20" t="s">
        <v>1457</v>
      </c>
      <c r="B1" s="13" t="s">
        <v>1456</v>
      </c>
      <c r="C1" s="13" t="s">
        <v>0</v>
      </c>
      <c r="D1" s="13" t="s">
        <v>1</v>
      </c>
      <c r="E1" s="13" t="s">
        <v>2</v>
      </c>
      <c r="F1" s="13" t="s">
        <v>3</v>
      </c>
      <c r="G1" s="13" t="s">
        <v>4</v>
      </c>
      <c r="H1" s="13" t="s">
        <v>5</v>
      </c>
      <c r="I1" s="13" t="s">
        <v>6</v>
      </c>
      <c r="J1" s="13" t="s">
        <v>5</v>
      </c>
      <c r="K1" s="13" t="s">
        <v>7</v>
      </c>
      <c r="L1" s="13" t="s">
        <v>8</v>
      </c>
      <c r="M1" s="13" t="s">
        <v>9</v>
      </c>
    </row>
    <row r="2" spans="1:13" x14ac:dyDescent="0.25">
      <c r="B2" s="5" t="s">
        <v>1617</v>
      </c>
      <c r="C2" t="s">
        <v>96</v>
      </c>
      <c r="D2">
        <v>1</v>
      </c>
      <c r="E2" t="b">
        <v>1</v>
      </c>
      <c r="F2" t="s">
        <v>32</v>
      </c>
      <c r="I2" t="s">
        <v>33</v>
      </c>
      <c r="K2" t="s">
        <v>13</v>
      </c>
      <c r="L2" t="s">
        <v>34</v>
      </c>
      <c r="M2">
        <v>0</v>
      </c>
    </row>
    <row r="3" spans="1:13" x14ac:dyDescent="0.25">
      <c r="A3" s="21">
        <v>23</v>
      </c>
      <c r="B3" s="6" t="s">
        <v>1509</v>
      </c>
      <c r="C3" t="s">
        <v>96</v>
      </c>
      <c r="D3">
        <v>2</v>
      </c>
      <c r="E3" t="b">
        <v>1</v>
      </c>
      <c r="F3" t="s">
        <v>43</v>
      </c>
      <c r="I3" t="s">
        <v>97</v>
      </c>
      <c r="K3" t="s">
        <v>13</v>
      </c>
      <c r="L3" t="s">
        <v>37</v>
      </c>
      <c r="M3">
        <v>59892</v>
      </c>
    </row>
    <row r="4" spans="1:13" x14ac:dyDescent="0.25">
      <c r="A4" s="21">
        <v>8</v>
      </c>
      <c r="B4" t="s">
        <v>1268</v>
      </c>
      <c r="C4" t="s">
        <v>96</v>
      </c>
      <c r="D4">
        <v>3</v>
      </c>
      <c r="E4" t="b">
        <v>1</v>
      </c>
      <c r="F4" t="s">
        <v>43</v>
      </c>
      <c r="I4" t="s">
        <v>56</v>
      </c>
      <c r="K4" t="s">
        <v>13</v>
      </c>
      <c r="L4" t="s">
        <v>57</v>
      </c>
      <c r="M4">
        <v>42</v>
      </c>
    </row>
    <row r="5" spans="1:13" x14ac:dyDescent="0.25">
      <c r="A5" s="21">
        <v>9</v>
      </c>
      <c r="B5" t="s">
        <v>1269</v>
      </c>
      <c r="C5" t="s">
        <v>96</v>
      </c>
      <c r="D5">
        <v>4</v>
      </c>
      <c r="E5" t="b">
        <v>1</v>
      </c>
      <c r="F5" t="s">
        <v>43</v>
      </c>
      <c r="I5" t="s">
        <v>60</v>
      </c>
      <c r="K5" t="s">
        <v>13</v>
      </c>
      <c r="L5" t="s">
        <v>61</v>
      </c>
      <c r="M5">
        <v>30</v>
      </c>
    </row>
    <row r="6" spans="1:13" x14ac:dyDescent="0.25">
      <c r="A6" s="21">
        <v>10</v>
      </c>
      <c r="B6" t="s">
        <v>1270</v>
      </c>
      <c r="C6" t="s">
        <v>96</v>
      </c>
      <c r="D6">
        <v>5</v>
      </c>
      <c r="E6" t="b">
        <v>1</v>
      </c>
      <c r="F6" t="s">
        <v>43</v>
      </c>
      <c r="I6" t="s">
        <v>48</v>
      </c>
      <c r="K6" t="s">
        <v>13</v>
      </c>
      <c r="L6" t="s">
        <v>58</v>
      </c>
      <c r="M6">
        <v>152</v>
      </c>
    </row>
    <row r="7" spans="1:13" x14ac:dyDescent="0.25">
      <c r="A7" s="21" t="s">
        <v>259</v>
      </c>
      <c r="B7" s="6" t="s">
        <v>260</v>
      </c>
      <c r="C7" t="s">
        <v>96</v>
      </c>
      <c r="D7">
        <v>6</v>
      </c>
      <c r="E7" s="5" t="b">
        <v>0</v>
      </c>
      <c r="F7" t="s">
        <v>43</v>
      </c>
      <c r="I7" t="s">
        <v>52</v>
      </c>
      <c r="K7" t="s">
        <v>13</v>
      </c>
      <c r="L7" t="s">
        <v>54</v>
      </c>
      <c r="M7">
        <v>0</v>
      </c>
    </row>
    <row r="8" spans="1:13" x14ac:dyDescent="0.25">
      <c r="A8" s="21" t="s">
        <v>259</v>
      </c>
      <c r="B8" s="6" t="s">
        <v>1297</v>
      </c>
      <c r="C8" t="s">
        <v>96</v>
      </c>
      <c r="D8">
        <v>7</v>
      </c>
      <c r="E8" t="b">
        <v>1</v>
      </c>
      <c r="F8" t="s">
        <v>43</v>
      </c>
      <c r="I8" t="s">
        <v>42</v>
      </c>
      <c r="K8" t="s">
        <v>13</v>
      </c>
      <c r="L8" t="s">
        <v>14</v>
      </c>
      <c r="M8">
        <v>0</v>
      </c>
    </row>
    <row r="9" spans="1:13" x14ac:dyDescent="0.25">
      <c r="A9" s="21">
        <v>24</v>
      </c>
      <c r="B9" s="6" t="s">
        <v>1512</v>
      </c>
      <c r="C9" t="s">
        <v>96</v>
      </c>
      <c r="D9">
        <v>8</v>
      </c>
      <c r="E9" t="b">
        <v>1</v>
      </c>
      <c r="F9" t="s">
        <v>43</v>
      </c>
      <c r="I9" t="s">
        <v>98</v>
      </c>
      <c r="K9" t="s">
        <v>13</v>
      </c>
      <c r="L9" t="s">
        <v>14</v>
      </c>
      <c r="M9">
        <v>127</v>
      </c>
    </row>
    <row r="10" spans="1:13" x14ac:dyDescent="0.25">
      <c r="A10" s="21" t="s">
        <v>259</v>
      </c>
      <c r="B10" s="6" t="s">
        <v>260</v>
      </c>
      <c r="C10" t="s">
        <v>96</v>
      </c>
      <c r="D10">
        <v>9</v>
      </c>
      <c r="E10" s="5" t="b">
        <v>0</v>
      </c>
      <c r="F10" t="s">
        <v>43</v>
      </c>
      <c r="I10" t="s">
        <v>29</v>
      </c>
      <c r="K10" t="s">
        <v>13</v>
      </c>
      <c r="L10" t="s">
        <v>14</v>
      </c>
      <c r="M10">
        <v>0</v>
      </c>
    </row>
    <row r="11" spans="1:13" x14ac:dyDescent="0.25">
      <c r="A11" s="21">
        <v>23</v>
      </c>
      <c r="B11" s="6" t="s">
        <v>1271</v>
      </c>
      <c r="C11" t="s">
        <v>96</v>
      </c>
      <c r="D11">
        <v>10</v>
      </c>
      <c r="E11" t="b">
        <v>1</v>
      </c>
      <c r="F11" t="s">
        <v>23</v>
      </c>
      <c r="I11" t="s">
        <v>99</v>
      </c>
      <c r="K11" t="s">
        <v>13</v>
      </c>
      <c r="L11" t="s">
        <v>37</v>
      </c>
      <c r="M11">
        <v>4312</v>
      </c>
    </row>
    <row r="12" spans="1:13" x14ac:dyDescent="0.25">
      <c r="A12" s="21">
        <v>11</v>
      </c>
      <c r="B12" t="s">
        <v>1272</v>
      </c>
      <c r="C12" t="s">
        <v>96</v>
      </c>
      <c r="D12">
        <v>11</v>
      </c>
      <c r="E12" t="b">
        <v>1</v>
      </c>
      <c r="F12" t="s">
        <v>23</v>
      </c>
      <c r="I12" t="s">
        <v>64</v>
      </c>
      <c r="K12" t="s">
        <v>13</v>
      </c>
      <c r="L12" t="s">
        <v>47</v>
      </c>
      <c r="M12">
        <v>622</v>
      </c>
    </row>
    <row r="13" spans="1:13" x14ac:dyDescent="0.25">
      <c r="A13" s="21" t="s">
        <v>259</v>
      </c>
      <c r="B13" s="6" t="s">
        <v>1281</v>
      </c>
      <c r="C13" t="s">
        <v>96</v>
      </c>
      <c r="D13">
        <v>12</v>
      </c>
      <c r="E13" t="b">
        <v>1</v>
      </c>
      <c r="F13" t="s">
        <v>100</v>
      </c>
      <c r="I13" t="s">
        <v>29</v>
      </c>
      <c r="K13" t="s">
        <v>13</v>
      </c>
      <c r="L13" t="s">
        <v>28</v>
      </c>
      <c r="M13">
        <v>36</v>
      </c>
    </row>
    <row r="14" spans="1:13" x14ac:dyDescent="0.25">
      <c r="A14" s="21" t="s">
        <v>259</v>
      </c>
      <c r="B14" s="6" t="s">
        <v>1282</v>
      </c>
      <c r="C14" t="s">
        <v>96</v>
      </c>
      <c r="D14">
        <v>13</v>
      </c>
      <c r="E14" t="b">
        <v>1</v>
      </c>
      <c r="F14" t="s">
        <v>100</v>
      </c>
      <c r="I14" t="s">
        <v>97</v>
      </c>
      <c r="K14" t="s">
        <v>13</v>
      </c>
      <c r="L14" t="s">
        <v>37</v>
      </c>
      <c r="M14">
        <v>64</v>
      </c>
    </row>
    <row r="15" spans="1:13" x14ac:dyDescent="0.25">
      <c r="A15" s="21">
        <v>23</v>
      </c>
      <c r="B15" s="6" t="s">
        <v>1283</v>
      </c>
      <c r="C15" t="s">
        <v>96</v>
      </c>
      <c r="D15">
        <v>14</v>
      </c>
      <c r="E15" t="b">
        <v>1</v>
      </c>
      <c r="F15" t="s">
        <v>46</v>
      </c>
      <c r="I15" t="s">
        <v>99</v>
      </c>
      <c r="K15" t="s">
        <v>13</v>
      </c>
      <c r="L15" t="s">
        <v>37</v>
      </c>
      <c r="M15">
        <v>11737</v>
      </c>
    </row>
    <row r="16" spans="1:13" x14ac:dyDescent="0.25">
      <c r="A16" s="21">
        <v>12</v>
      </c>
      <c r="B16" s="6" t="s">
        <v>1280</v>
      </c>
      <c r="C16" t="s">
        <v>96</v>
      </c>
      <c r="D16">
        <v>15</v>
      </c>
      <c r="E16" t="b">
        <v>1</v>
      </c>
      <c r="F16" t="s">
        <v>46</v>
      </c>
      <c r="I16" t="s">
        <v>45</v>
      </c>
      <c r="K16" t="s">
        <v>13</v>
      </c>
      <c r="L16" t="s">
        <v>21</v>
      </c>
      <c r="M16">
        <v>11</v>
      </c>
    </row>
    <row r="17" spans="1:13" x14ac:dyDescent="0.25">
      <c r="A17" s="21" t="s">
        <v>1413</v>
      </c>
      <c r="B17" s="6" t="s">
        <v>1279</v>
      </c>
      <c r="C17" t="s">
        <v>96</v>
      </c>
      <c r="D17">
        <v>16</v>
      </c>
      <c r="E17" t="b">
        <v>1</v>
      </c>
      <c r="F17" t="s">
        <v>46</v>
      </c>
      <c r="I17" t="s">
        <v>44</v>
      </c>
      <c r="K17" t="s">
        <v>13</v>
      </c>
      <c r="L17" t="s">
        <v>47</v>
      </c>
      <c r="M17">
        <v>93</v>
      </c>
    </row>
    <row r="18" spans="1:13" x14ac:dyDescent="0.25">
      <c r="A18" s="21">
        <v>23</v>
      </c>
      <c r="B18" s="6" t="s">
        <v>1278</v>
      </c>
      <c r="C18" t="s">
        <v>96</v>
      </c>
      <c r="D18">
        <v>17</v>
      </c>
      <c r="E18" t="b">
        <v>1</v>
      </c>
      <c r="F18" t="s">
        <v>101</v>
      </c>
      <c r="I18" t="s">
        <v>99</v>
      </c>
      <c r="K18" t="s">
        <v>13</v>
      </c>
      <c r="L18" t="s">
        <v>37</v>
      </c>
      <c r="M18">
        <v>5604</v>
      </c>
    </row>
    <row r="19" spans="1:13" x14ac:dyDescent="0.25">
      <c r="A19" s="21">
        <v>13</v>
      </c>
      <c r="B19" s="6" t="s">
        <v>1277</v>
      </c>
      <c r="C19" t="s">
        <v>96</v>
      </c>
      <c r="D19">
        <v>18</v>
      </c>
      <c r="E19" t="b">
        <v>1</v>
      </c>
      <c r="F19" t="s">
        <v>101</v>
      </c>
      <c r="I19" t="s">
        <v>45</v>
      </c>
      <c r="K19" t="s">
        <v>13</v>
      </c>
      <c r="L19" t="s">
        <v>21</v>
      </c>
      <c r="M19">
        <v>12</v>
      </c>
    </row>
    <row r="20" spans="1:13" x14ac:dyDescent="0.25">
      <c r="A20" s="21" t="s">
        <v>259</v>
      </c>
      <c r="B20" s="6" t="s">
        <v>1276</v>
      </c>
      <c r="C20" t="s">
        <v>96</v>
      </c>
      <c r="D20">
        <v>19</v>
      </c>
      <c r="E20" t="b">
        <v>1</v>
      </c>
      <c r="F20" t="s">
        <v>101</v>
      </c>
      <c r="I20" t="s">
        <v>29</v>
      </c>
      <c r="K20" t="s">
        <v>13</v>
      </c>
      <c r="L20" t="s">
        <v>102</v>
      </c>
      <c r="M20">
        <v>1338</v>
      </c>
    </row>
    <row r="21" spans="1:13" x14ac:dyDescent="0.25">
      <c r="A21" s="21" t="s">
        <v>259</v>
      </c>
      <c r="B21" s="6" t="s">
        <v>1273</v>
      </c>
      <c r="C21" t="s">
        <v>96</v>
      </c>
      <c r="D21">
        <v>20</v>
      </c>
      <c r="E21" t="b">
        <v>1</v>
      </c>
      <c r="F21" t="s">
        <v>103</v>
      </c>
      <c r="I21" t="s">
        <v>99</v>
      </c>
      <c r="K21" t="s">
        <v>13</v>
      </c>
      <c r="L21" t="s">
        <v>37</v>
      </c>
      <c r="M21">
        <v>0</v>
      </c>
    </row>
    <row r="22" spans="1:13" x14ac:dyDescent="0.25">
      <c r="A22" s="21" t="s">
        <v>259</v>
      </c>
      <c r="B22" s="6" t="s">
        <v>1275</v>
      </c>
      <c r="C22" t="s">
        <v>96</v>
      </c>
      <c r="D22">
        <v>21</v>
      </c>
      <c r="E22" t="b">
        <v>1</v>
      </c>
      <c r="F22" t="s">
        <v>103</v>
      </c>
      <c r="I22" t="s">
        <v>29</v>
      </c>
      <c r="K22" t="s">
        <v>13</v>
      </c>
      <c r="L22" t="s">
        <v>14</v>
      </c>
      <c r="M22">
        <v>0</v>
      </c>
    </row>
    <row r="23" spans="1:13" x14ac:dyDescent="0.25">
      <c r="A23" s="21" t="s">
        <v>259</v>
      </c>
      <c r="B23" s="6" t="s">
        <v>1274</v>
      </c>
      <c r="C23" t="s">
        <v>96</v>
      </c>
      <c r="D23">
        <v>22</v>
      </c>
      <c r="E23" t="b">
        <v>1</v>
      </c>
      <c r="F23" t="s">
        <v>104</v>
      </c>
      <c r="I23" t="s">
        <v>99</v>
      </c>
      <c r="K23" t="s">
        <v>13</v>
      </c>
      <c r="L23" t="s">
        <v>37</v>
      </c>
      <c r="M23">
        <v>0</v>
      </c>
    </row>
    <row r="24" spans="1:13" x14ac:dyDescent="0.25">
      <c r="A24" s="21" t="s">
        <v>259</v>
      </c>
      <c r="B24" s="6" t="s">
        <v>1285</v>
      </c>
      <c r="C24" t="s">
        <v>96</v>
      </c>
      <c r="D24">
        <v>23</v>
      </c>
      <c r="E24" t="b">
        <v>1</v>
      </c>
      <c r="F24" t="s">
        <v>104</v>
      </c>
      <c r="I24" t="s">
        <v>45</v>
      </c>
      <c r="K24" t="s">
        <v>13</v>
      </c>
      <c r="L24" t="s">
        <v>21</v>
      </c>
      <c r="M24">
        <v>0</v>
      </c>
    </row>
    <row r="25" spans="1:13" x14ac:dyDescent="0.25">
      <c r="A25" s="21" t="s">
        <v>259</v>
      </c>
      <c r="B25" s="6" t="s">
        <v>260</v>
      </c>
      <c r="C25" t="s">
        <v>96</v>
      </c>
      <c r="D25">
        <v>24</v>
      </c>
      <c r="E25" s="5" t="b">
        <v>0</v>
      </c>
      <c r="F25" t="s">
        <v>55</v>
      </c>
      <c r="I25" t="s">
        <v>29</v>
      </c>
      <c r="K25" t="s">
        <v>13</v>
      </c>
      <c r="L25" t="s">
        <v>30</v>
      </c>
      <c r="M25">
        <v>0</v>
      </c>
    </row>
    <row r="26" spans="1:13" x14ac:dyDescent="0.25">
      <c r="A26" s="21">
        <v>23</v>
      </c>
      <c r="B26" s="6" t="s">
        <v>1289</v>
      </c>
      <c r="C26" t="s">
        <v>96</v>
      </c>
      <c r="D26">
        <v>25</v>
      </c>
      <c r="E26" t="b">
        <v>1</v>
      </c>
      <c r="F26" t="s">
        <v>55</v>
      </c>
      <c r="I26" t="s">
        <v>99</v>
      </c>
      <c r="K26" t="s">
        <v>13</v>
      </c>
      <c r="L26" t="s">
        <v>37</v>
      </c>
      <c r="M26">
        <v>70534</v>
      </c>
    </row>
    <row r="27" spans="1:13" x14ac:dyDescent="0.25">
      <c r="A27" s="21">
        <v>18</v>
      </c>
      <c r="B27" s="6" t="s">
        <v>1290</v>
      </c>
      <c r="C27" t="s">
        <v>96</v>
      </c>
      <c r="D27">
        <v>26</v>
      </c>
      <c r="E27" t="b">
        <v>1</v>
      </c>
      <c r="F27" t="s">
        <v>55</v>
      </c>
      <c r="I27" t="s">
        <v>105</v>
      </c>
      <c r="K27" t="s">
        <v>13</v>
      </c>
      <c r="L27" t="s">
        <v>21</v>
      </c>
      <c r="M27">
        <v>699</v>
      </c>
    </row>
    <row r="28" spans="1:13" x14ac:dyDescent="0.25">
      <c r="A28" s="21">
        <v>25</v>
      </c>
      <c r="B28" s="6" t="s">
        <v>1510</v>
      </c>
      <c r="C28" t="s">
        <v>96</v>
      </c>
      <c r="D28">
        <v>27</v>
      </c>
      <c r="E28" t="b">
        <v>1</v>
      </c>
      <c r="F28" t="s">
        <v>55</v>
      </c>
      <c r="I28" t="s">
        <v>52</v>
      </c>
      <c r="K28" t="s">
        <v>13</v>
      </c>
      <c r="L28" t="s">
        <v>54</v>
      </c>
      <c r="M28">
        <v>1344</v>
      </c>
    </row>
    <row r="29" spans="1:13" x14ac:dyDescent="0.25">
      <c r="A29" s="21">
        <v>19</v>
      </c>
      <c r="B29" s="6" t="s">
        <v>1513</v>
      </c>
      <c r="C29" t="s">
        <v>96</v>
      </c>
      <c r="D29">
        <v>28</v>
      </c>
      <c r="E29" t="b">
        <v>1</v>
      </c>
      <c r="F29" t="s">
        <v>55</v>
      </c>
      <c r="I29" t="s">
        <v>56</v>
      </c>
      <c r="K29" t="s">
        <v>13</v>
      </c>
      <c r="L29" t="s">
        <v>57</v>
      </c>
      <c r="M29">
        <v>7</v>
      </c>
    </row>
    <row r="30" spans="1:13" x14ac:dyDescent="0.25">
      <c r="A30" s="21">
        <v>20</v>
      </c>
      <c r="B30" s="6" t="s">
        <v>1514</v>
      </c>
      <c r="C30" t="s">
        <v>96</v>
      </c>
      <c r="D30">
        <v>29</v>
      </c>
      <c r="E30" t="b">
        <v>1</v>
      </c>
      <c r="F30" t="s">
        <v>55</v>
      </c>
      <c r="I30" t="s">
        <v>48</v>
      </c>
      <c r="K30" t="s">
        <v>13</v>
      </c>
      <c r="L30" t="s">
        <v>58</v>
      </c>
      <c r="M30">
        <v>1691</v>
      </c>
    </row>
    <row r="31" spans="1:13" x14ac:dyDescent="0.25">
      <c r="A31" s="21">
        <v>23</v>
      </c>
      <c r="B31" s="6" t="s">
        <v>1286</v>
      </c>
      <c r="C31" t="s">
        <v>96</v>
      </c>
      <c r="D31">
        <v>30</v>
      </c>
      <c r="E31" t="b">
        <v>1</v>
      </c>
      <c r="F31" t="s">
        <v>59</v>
      </c>
      <c r="I31" t="s">
        <v>99</v>
      </c>
      <c r="K31" t="s">
        <v>13</v>
      </c>
      <c r="L31" t="s">
        <v>37</v>
      </c>
      <c r="M31">
        <v>148189</v>
      </c>
    </row>
    <row r="32" spans="1:13" x14ac:dyDescent="0.25">
      <c r="A32" s="21">
        <v>25</v>
      </c>
      <c r="B32" s="6" t="s">
        <v>1511</v>
      </c>
      <c r="C32" t="s">
        <v>96</v>
      </c>
      <c r="D32">
        <v>31</v>
      </c>
      <c r="E32" t="b">
        <v>1</v>
      </c>
      <c r="F32" t="s">
        <v>59</v>
      </c>
      <c r="I32" t="s">
        <v>52</v>
      </c>
      <c r="K32" t="s">
        <v>13</v>
      </c>
      <c r="L32" t="s">
        <v>54</v>
      </c>
      <c r="M32">
        <v>84580</v>
      </c>
    </row>
    <row r="33" spans="1:13" x14ac:dyDescent="0.25">
      <c r="A33" s="21" t="s">
        <v>259</v>
      </c>
      <c r="B33" s="6" t="s">
        <v>1287</v>
      </c>
      <c r="C33" t="s">
        <v>96</v>
      </c>
      <c r="D33">
        <v>32</v>
      </c>
      <c r="E33" t="b">
        <v>1</v>
      </c>
      <c r="F33" t="s">
        <v>59</v>
      </c>
      <c r="I33" t="s">
        <v>29</v>
      </c>
      <c r="K33" t="s">
        <v>13</v>
      </c>
      <c r="L33" t="s">
        <v>30</v>
      </c>
      <c r="M33">
        <v>170565</v>
      </c>
    </row>
    <row r="34" spans="1:13" x14ac:dyDescent="0.25">
      <c r="A34" s="21" t="s">
        <v>259</v>
      </c>
      <c r="B34" s="6" t="s">
        <v>1288</v>
      </c>
      <c r="C34" t="s">
        <v>96</v>
      </c>
      <c r="D34">
        <v>33</v>
      </c>
      <c r="E34" t="b">
        <v>1</v>
      </c>
      <c r="F34" t="s">
        <v>59</v>
      </c>
      <c r="I34" t="s">
        <v>29</v>
      </c>
      <c r="K34" t="s">
        <v>13</v>
      </c>
      <c r="L34" t="s">
        <v>37</v>
      </c>
      <c r="M34">
        <v>0</v>
      </c>
    </row>
    <row r="35" spans="1:13" x14ac:dyDescent="0.25">
      <c r="A35" s="21">
        <v>21</v>
      </c>
      <c r="B35" t="s">
        <v>1495</v>
      </c>
      <c r="C35" t="s">
        <v>96</v>
      </c>
      <c r="D35">
        <v>34</v>
      </c>
      <c r="E35" t="b">
        <v>1</v>
      </c>
      <c r="F35" t="s">
        <v>59</v>
      </c>
      <c r="I35" t="s">
        <v>42</v>
      </c>
      <c r="K35" t="s">
        <v>13</v>
      </c>
      <c r="L35" t="s">
        <v>14</v>
      </c>
      <c r="M35">
        <v>0</v>
      </c>
    </row>
    <row r="36" spans="1:13" x14ac:dyDescent="0.25">
      <c r="A36" s="21" t="s">
        <v>259</v>
      </c>
      <c r="B36" s="6" t="s">
        <v>259</v>
      </c>
      <c r="C36" t="s">
        <v>106</v>
      </c>
      <c r="D36">
        <v>1</v>
      </c>
      <c r="E36" t="b">
        <v>1</v>
      </c>
      <c r="F36" t="s">
        <v>29</v>
      </c>
      <c r="I36" t="s">
        <v>43</v>
      </c>
      <c r="K36" t="s">
        <v>13</v>
      </c>
      <c r="L36" t="s">
        <v>14</v>
      </c>
      <c r="M36">
        <v>0</v>
      </c>
    </row>
    <row r="37" spans="1:13" x14ac:dyDescent="0.25">
      <c r="A37" s="21" t="s">
        <v>259</v>
      </c>
      <c r="B37" s="6" t="s">
        <v>260</v>
      </c>
      <c r="C37" t="s">
        <v>106</v>
      </c>
      <c r="D37">
        <v>2</v>
      </c>
      <c r="E37" s="5" t="b">
        <v>0</v>
      </c>
      <c r="F37" t="s">
        <v>29</v>
      </c>
      <c r="I37" t="s">
        <v>43</v>
      </c>
      <c r="K37" t="s">
        <v>13</v>
      </c>
      <c r="L37" t="s">
        <v>54</v>
      </c>
      <c r="M37">
        <v>0</v>
      </c>
    </row>
    <row r="38" spans="1:13" x14ac:dyDescent="0.25">
      <c r="A38" s="21" t="s">
        <v>259</v>
      </c>
      <c r="B38" s="6" t="s">
        <v>259</v>
      </c>
      <c r="C38" t="s">
        <v>106</v>
      </c>
      <c r="D38">
        <v>3</v>
      </c>
      <c r="E38" t="b">
        <v>1</v>
      </c>
      <c r="F38" t="s">
        <v>29</v>
      </c>
      <c r="I38" t="s">
        <v>12</v>
      </c>
      <c r="K38" t="s">
        <v>13</v>
      </c>
      <c r="L38" t="s">
        <v>14</v>
      </c>
      <c r="M38">
        <v>55889</v>
      </c>
    </row>
    <row r="39" spans="1:13" x14ac:dyDescent="0.25">
      <c r="A39" s="21" t="s">
        <v>259</v>
      </c>
      <c r="B39" s="6" t="s">
        <v>259</v>
      </c>
      <c r="C39" t="s">
        <v>106</v>
      </c>
      <c r="D39">
        <v>4</v>
      </c>
      <c r="E39" t="b">
        <v>1</v>
      </c>
      <c r="F39" t="s">
        <v>29</v>
      </c>
      <c r="I39" t="s">
        <v>15</v>
      </c>
      <c r="K39" t="s">
        <v>13</v>
      </c>
      <c r="L39" t="s">
        <v>14</v>
      </c>
      <c r="M39">
        <v>5036</v>
      </c>
    </row>
    <row r="40" spans="1:13" x14ac:dyDescent="0.25">
      <c r="A40" s="21" t="s">
        <v>259</v>
      </c>
      <c r="B40" s="6" t="s">
        <v>259</v>
      </c>
      <c r="C40" t="s">
        <v>106</v>
      </c>
      <c r="D40">
        <v>5</v>
      </c>
      <c r="E40" t="b">
        <v>1</v>
      </c>
      <c r="F40" t="s">
        <v>29</v>
      </c>
      <c r="I40" t="s">
        <v>16</v>
      </c>
      <c r="K40" t="s">
        <v>13</v>
      </c>
      <c r="L40" t="s">
        <v>14</v>
      </c>
      <c r="M40">
        <v>11029</v>
      </c>
    </row>
    <row r="41" spans="1:13" x14ac:dyDescent="0.25">
      <c r="A41" s="21" t="s">
        <v>259</v>
      </c>
      <c r="B41" s="6" t="s">
        <v>259</v>
      </c>
      <c r="C41" t="s">
        <v>106</v>
      </c>
      <c r="D41">
        <v>6</v>
      </c>
      <c r="E41" t="b">
        <v>1</v>
      </c>
      <c r="F41" t="s">
        <v>29</v>
      </c>
      <c r="I41" t="s">
        <v>17</v>
      </c>
      <c r="K41" t="s">
        <v>13</v>
      </c>
      <c r="L41" t="s">
        <v>14</v>
      </c>
      <c r="M41">
        <v>0</v>
      </c>
    </row>
    <row r="42" spans="1:13" x14ac:dyDescent="0.25">
      <c r="A42" s="21" t="s">
        <v>259</v>
      </c>
      <c r="B42" s="6" t="s">
        <v>259</v>
      </c>
      <c r="C42" t="s">
        <v>106</v>
      </c>
      <c r="D42">
        <v>7</v>
      </c>
      <c r="E42" t="b">
        <v>1</v>
      </c>
      <c r="F42" t="s">
        <v>29</v>
      </c>
      <c r="I42" t="s">
        <v>23</v>
      </c>
      <c r="K42" t="s">
        <v>13</v>
      </c>
      <c r="L42" t="s">
        <v>24</v>
      </c>
      <c r="M42">
        <v>375</v>
      </c>
    </row>
    <row r="43" spans="1:13" x14ac:dyDescent="0.25">
      <c r="A43" s="21" t="s">
        <v>259</v>
      </c>
      <c r="B43" s="6" t="s">
        <v>259</v>
      </c>
      <c r="C43" t="s">
        <v>106</v>
      </c>
      <c r="D43">
        <v>8</v>
      </c>
      <c r="E43" t="b">
        <v>1</v>
      </c>
      <c r="F43" t="s">
        <v>29</v>
      </c>
      <c r="I43" t="s">
        <v>27</v>
      </c>
      <c r="K43" t="s">
        <v>13</v>
      </c>
      <c r="L43" t="s">
        <v>28</v>
      </c>
      <c r="M43">
        <v>5010</v>
      </c>
    </row>
    <row r="44" spans="1:13" x14ac:dyDescent="0.25">
      <c r="A44" s="21" t="s">
        <v>259</v>
      </c>
      <c r="B44" s="6" t="s">
        <v>1458</v>
      </c>
      <c r="C44" t="s">
        <v>106</v>
      </c>
      <c r="D44">
        <v>9</v>
      </c>
      <c r="E44" t="b">
        <v>1</v>
      </c>
      <c r="F44" t="s">
        <v>48</v>
      </c>
      <c r="I44" t="s">
        <v>55</v>
      </c>
      <c r="K44" t="s">
        <v>13</v>
      </c>
      <c r="L44" t="s">
        <v>14</v>
      </c>
      <c r="M44">
        <v>0</v>
      </c>
    </row>
    <row r="45" spans="1:13" x14ac:dyDescent="0.25">
      <c r="A45" s="21" t="s">
        <v>259</v>
      </c>
      <c r="B45" s="6" t="s">
        <v>260</v>
      </c>
      <c r="C45" t="s">
        <v>106</v>
      </c>
      <c r="D45">
        <v>10</v>
      </c>
      <c r="E45" s="5" t="b">
        <v>0</v>
      </c>
      <c r="F45" t="s">
        <v>29</v>
      </c>
      <c r="I45" t="s">
        <v>55</v>
      </c>
      <c r="K45" t="s">
        <v>13</v>
      </c>
      <c r="L45" t="s">
        <v>107</v>
      </c>
      <c r="M45">
        <v>0</v>
      </c>
    </row>
    <row r="46" spans="1:13" x14ac:dyDescent="0.25">
      <c r="A46" s="21" t="s">
        <v>259</v>
      </c>
      <c r="B46" s="6" t="s">
        <v>259</v>
      </c>
      <c r="C46" t="s">
        <v>106</v>
      </c>
      <c r="D46">
        <v>11</v>
      </c>
      <c r="E46" t="b">
        <v>1</v>
      </c>
      <c r="F46" t="s">
        <v>29</v>
      </c>
      <c r="I46" t="s">
        <v>55</v>
      </c>
      <c r="K46" t="s">
        <v>13</v>
      </c>
      <c r="L46" t="s">
        <v>107</v>
      </c>
      <c r="M46">
        <v>0</v>
      </c>
    </row>
    <row r="47" spans="1:13" x14ac:dyDescent="0.25">
      <c r="A47" s="21">
        <v>22</v>
      </c>
      <c r="B47" s="6" t="s">
        <v>1291</v>
      </c>
      <c r="C47" t="s">
        <v>106</v>
      </c>
      <c r="D47">
        <v>12</v>
      </c>
      <c r="E47" t="b">
        <v>1</v>
      </c>
      <c r="F47" t="s">
        <v>48</v>
      </c>
      <c r="I47" t="s">
        <v>50</v>
      </c>
      <c r="K47" t="s">
        <v>13</v>
      </c>
      <c r="L47" t="s">
        <v>14</v>
      </c>
      <c r="M47">
        <v>3709</v>
      </c>
    </row>
    <row r="48" spans="1:13" x14ac:dyDescent="0.25">
      <c r="A48" s="21" t="s">
        <v>259</v>
      </c>
      <c r="B48" s="6" t="s">
        <v>259</v>
      </c>
      <c r="C48" t="s">
        <v>106</v>
      </c>
      <c r="D48">
        <v>13</v>
      </c>
      <c r="E48" t="b">
        <v>1</v>
      </c>
      <c r="F48" t="s">
        <v>29</v>
      </c>
      <c r="I48" t="s">
        <v>50</v>
      </c>
      <c r="K48" t="s">
        <v>13</v>
      </c>
      <c r="L48" t="s">
        <v>107</v>
      </c>
      <c r="M48">
        <v>111</v>
      </c>
    </row>
    <row r="49" spans="1:13" x14ac:dyDescent="0.25">
      <c r="A49" s="21" t="s">
        <v>259</v>
      </c>
      <c r="B49" s="6" t="s">
        <v>259</v>
      </c>
      <c r="C49" t="s">
        <v>106</v>
      </c>
      <c r="D49">
        <v>14</v>
      </c>
      <c r="E49" t="b">
        <v>1</v>
      </c>
      <c r="F49" t="s">
        <v>29</v>
      </c>
      <c r="I49" t="s">
        <v>51</v>
      </c>
      <c r="K49" t="s">
        <v>13</v>
      </c>
      <c r="L49" t="s">
        <v>14</v>
      </c>
      <c r="M49">
        <v>0</v>
      </c>
    </row>
    <row r="50" spans="1:13" x14ac:dyDescent="0.25">
      <c r="A50" s="21" t="s">
        <v>259</v>
      </c>
      <c r="B50" s="6" t="s">
        <v>259</v>
      </c>
      <c r="C50" t="s">
        <v>106</v>
      </c>
      <c r="D50">
        <v>15</v>
      </c>
      <c r="E50" t="b">
        <v>1</v>
      </c>
      <c r="F50" t="s">
        <v>29</v>
      </c>
      <c r="I50" t="s">
        <v>20</v>
      </c>
      <c r="K50" t="s">
        <v>13</v>
      </c>
      <c r="L50" t="s">
        <v>14</v>
      </c>
      <c r="M50">
        <v>57811</v>
      </c>
    </row>
    <row r="51" spans="1:13" x14ac:dyDescent="0.25">
      <c r="A51" s="21" t="s">
        <v>259</v>
      </c>
      <c r="B51" s="6" t="s">
        <v>259</v>
      </c>
      <c r="C51" t="s">
        <v>106</v>
      </c>
      <c r="D51">
        <v>16</v>
      </c>
      <c r="E51" t="b">
        <v>1</v>
      </c>
      <c r="F51" t="s">
        <v>29</v>
      </c>
      <c r="I51" t="s">
        <v>100</v>
      </c>
      <c r="K51" t="s">
        <v>13</v>
      </c>
      <c r="L51" t="s">
        <v>28</v>
      </c>
      <c r="M51">
        <v>12027</v>
      </c>
    </row>
    <row r="52" spans="1:13" x14ac:dyDescent="0.25">
      <c r="A52" s="21" t="s">
        <v>259</v>
      </c>
      <c r="B52" s="6" t="s">
        <v>1508</v>
      </c>
      <c r="C52" t="s">
        <v>106</v>
      </c>
      <c r="D52">
        <v>17</v>
      </c>
      <c r="E52" t="b">
        <v>1</v>
      </c>
      <c r="F52" t="s">
        <v>94</v>
      </c>
      <c r="I52" t="s">
        <v>100</v>
      </c>
      <c r="K52" t="s">
        <v>13</v>
      </c>
      <c r="L52" t="s">
        <v>108</v>
      </c>
      <c r="M52">
        <v>0</v>
      </c>
    </row>
    <row r="53" spans="1:13" x14ac:dyDescent="0.25">
      <c r="A53" s="21">
        <v>17</v>
      </c>
      <c r="B53" s="6" t="s">
        <v>1292</v>
      </c>
      <c r="C53" t="s">
        <v>106</v>
      </c>
      <c r="D53">
        <v>18</v>
      </c>
      <c r="E53" t="b">
        <v>1</v>
      </c>
      <c r="F53" t="s">
        <v>44</v>
      </c>
      <c r="I53" t="s">
        <v>46</v>
      </c>
      <c r="K53" t="s">
        <v>13</v>
      </c>
      <c r="L53" t="s">
        <v>47</v>
      </c>
      <c r="M53">
        <v>127</v>
      </c>
    </row>
    <row r="54" spans="1:13" x14ac:dyDescent="0.25">
      <c r="A54" s="21">
        <v>26</v>
      </c>
      <c r="B54" s="6" t="s">
        <v>1516</v>
      </c>
      <c r="C54" t="s">
        <v>106</v>
      </c>
      <c r="D54">
        <v>19</v>
      </c>
      <c r="E54" t="b">
        <v>1</v>
      </c>
      <c r="F54" t="s">
        <v>109</v>
      </c>
      <c r="I54" t="s">
        <v>46</v>
      </c>
      <c r="K54" t="s">
        <v>13</v>
      </c>
      <c r="L54" t="s">
        <v>30</v>
      </c>
      <c r="M54">
        <v>9436</v>
      </c>
    </row>
    <row r="55" spans="1:13" x14ac:dyDescent="0.25">
      <c r="A55" s="21">
        <v>27</v>
      </c>
      <c r="B55" s="6" t="s">
        <v>1517</v>
      </c>
      <c r="C55" t="s">
        <v>106</v>
      </c>
      <c r="D55">
        <v>20</v>
      </c>
      <c r="E55" t="b">
        <v>1</v>
      </c>
      <c r="F55" t="s">
        <v>63</v>
      </c>
      <c r="I55" t="s">
        <v>43</v>
      </c>
      <c r="K55" t="s">
        <v>13</v>
      </c>
      <c r="L55" t="s">
        <v>110</v>
      </c>
      <c r="M55">
        <v>134</v>
      </c>
    </row>
    <row r="56" spans="1:13" x14ac:dyDescent="0.25">
      <c r="A56" s="21">
        <v>27</v>
      </c>
      <c r="B56" s="6" t="s">
        <v>1518</v>
      </c>
      <c r="C56" t="s">
        <v>106</v>
      </c>
      <c r="D56">
        <v>21</v>
      </c>
      <c r="E56" t="b">
        <v>1</v>
      </c>
      <c r="F56" t="s">
        <v>63</v>
      </c>
      <c r="I56" t="s">
        <v>55</v>
      </c>
      <c r="K56" t="s">
        <v>13</v>
      </c>
      <c r="L56" t="s">
        <v>30</v>
      </c>
      <c r="M56">
        <v>91</v>
      </c>
    </row>
    <row r="57" spans="1:13" x14ac:dyDescent="0.25">
      <c r="A57" s="21">
        <v>27</v>
      </c>
      <c r="B57" s="6" t="s">
        <v>1519</v>
      </c>
      <c r="C57" t="s">
        <v>106</v>
      </c>
      <c r="D57">
        <v>22</v>
      </c>
      <c r="E57" t="b">
        <v>1</v>
      </c>
      <c r="F57" t="s">
        <v>63</v>
      </c>
      <c r="I57" t="s">
        <v>59</v>
      </c>
      <c r="K57" t="s">
        <v>13</v>
      </c>
      <c r="L57" t="s">
        <v>30</v>
      </c>
      <c r="M57">
        <v>54</v>
      </c>
    </row>
    <row r="58" spans="1:13" x14ac:dyDescent="0.25">
      <c r="A58" s="21" t="s">
        <v>259</v>
      </c>
      <c r="B58" s="6" t="s">
        <v>1515</v>
      </c>
      <c r="C58" t="s">
        <v>106</v>
      </c>
      <c r="D58">
        <v>23</v>
      </c>
      <c r="E58" t="b">
        <v>1</v>
      </c>
      <c r="F58" t="s">
        <v>63</v>
      </c>
      <c r="I58" t="s">
        <v>111</v>
      </c>
      <c r="K58" t="s">
        <v>13</v>
      </c>
      <c r="L58" t="s">
        <v>30</v>
      </c>
      <c r="M58">
        <v>0</v>
      </c>
    </row>
    <row r="59" spans="1:13" x14ac:dyDescent="0.25">
      <c r="A59" s="21" t="s">
        <v>259</v>
      </c>
      <c r="B59" s="6" t="s">
        <v>1459</v>
      </c>
      <c r="C59" t="s">
        <v>106</v>
      </c>
      <c r="D59">
        <v>24</v>
      </c>
      <c r="E59" t="b">
        <v>1</v>
      </c>
      <c r="F59" t="s">
        <v>94</v>
      </c>
      <c r="I59" t="s">
        <v>32</v>
      </c>
      <c r="K59" t="s">
        <v>13</v>
      </c>
      <c r="L59" t="s">
        <v>95</v>
      </c>
      <c r="M59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0"/>
  <sheetViews>
    <sheetView workbookViewId="0">
      <pane ySplit="1" topLeftCell="A2" activePane="bottomLeft" state="frozen"/>
      <selection pane="bottomLeft" activeCell="H2" sqref="H2"/>
    </sheetView>
  </sheetViews>
  <sheetFormatPr defaultRowHeight="15" x14ac:dyDescent="0.25"/>
  <cols>
    <col min="2" max="2" width="23.7109375" bestFit="1" customWidth="1"/>
    <col min="3" max="3" width="7.28515625" bestFit="1" customWidth="1"/>
    <col min="4" max="4" width="16.7109375" bestFit="1" customWidth="1"/>
    <col min="5" max="5" width="16.28515625" bestFit="1" customWidth="1"/>
    <col min="6" max="6" width="4.5703125" bestFit="1" customWidth="1"/>
    <col min="7" max="7" width="12.28515625" bestFit="1" customWidth="1"/>
    <col min="8" max="8" width="14" bestFit="1" customWidth="1"/>
  </cols>
  <sheetData>
    <row r="1" spans="1:8" s="13" customFormat="1" x14ac:dyDescent="0.25">
      <c r="B1" s="13" t="s">
        <v>240</v>
      </c>
      <c r="C1" s="13" t="s">
        <v>1399</v>
      </c>
      <c r="D1" s="13" t="s">
        <v>1400</v>
      </c>
      <c r="E1" s="13" t="s">
        <v>1401</v>
      </c>
      <c r="F1" s="13" t="s">
        <v>1402</v>
      </c>
      <c r="G1" s="13" t="s">
        <v>1403</v>
      </c>
      <c r="H1" s="13" t="s">
        <v>1404</v>
      </c>
    </row>
    <row r="2" spans="1:8" x14ac:dyDescent="0.25">
      <c r="A2" t="s">
        <v>1284</v>
      </c>
      <c r="B2" s="5" t="s">
        <v>1423</v>
      </c>
      <c r="D2" t="s">
        <v>1405</v>
      </c>
      <c r="E2" t="s">
        <v>1406</v>
      </c>
      <c r="F2">
        <v>1</v>
      </c>
      <c r="G2" t="s">
        <v>1407</v>
      </c>
      <c r="H2" t="s">
        <v>1408</v>
      </c>
    </row>
    <row r="3" spans="1:8" x14ac:dyDescent="0.25">
      <c r="B3" s="12" t="s">
        <v>1424</v>
      </c>
      <c r="D3" t="s">
        <v>1405</v>
      </c>
      <c r="E3" t="s">
        <v>1406</v>
      </c>
      <c r="F3">
        <v>1</v>
      </c>
      <c r="G3" t="s">
        <v>1407</v>
      </c>
      <c r="H3" t="s">
        <v>1435</v>
      </c>
    </row>
    <row r="4" spans="1:8" x14ac:dyDescent="0.25">
      <c r="B4" s="12" t="s">
        <v>1425</v>
      </c>
      <c r="D4" t="s">
        <v>1405</v>
      </c>
      <c r="E4" t="s">
        <v>1406</v>
      </c>
      <c r="F4">
        <v>1</v>
      </c>
      <c r="G4" t="s">
        <v>1407</v>
      </c>
      <c r="H4" t="s">
        <v>1436</v>
      </c>
    </row>
    <row r="5" spans="1:8" x14ac:dyDescent="0.25">
      <c r="B5" s="12" t="s">
        <v>1426</v>
      </c>
      <c r="D5" t="s">
        <v>1405</v>
      </c>
      <c r="E5" t="s">
        <v>1406</v>
      </c>
      <c r="F5">
        <v>1</v>
      </c>
      <c r="G5" t="s">
        <v>1407</v>
      </c>
      <c r="H5" t="s">
        <v>1437</v>
      </c>
    </row>
    <row r="6" spans="1:8" x14ac:dyDescent="0.25">
      <c r="B6" s="12" t="s">
        <v>1427</v>
      </c>
      <c r="D6" t="s">
        <v>1405</v>
      </c>
      <c r="E6" t="s">
        <v>1406</v>
      </c>
      <c r="F6">
        <v>1</v>
      </c>
      <c r="G6" t="s">
        <v>1407</v>
      </c>
      <c r="H6" t="s">
        <v>1438</v>
      </c>
    </row>
    <row r="7" spans="1:8" x14ac:dyDescent="0.25">
      <c r="B7" s="12" t="s">
        <v>1428</v>
      </c>
      <c r="D7" t="s">
        <v>1405</v>
      </c>
      <c r="E7" t="s">
        <v>1406</v>
      </c>
      <c r="F7">
        <v>1</v>
      </c>
      <c r="G7" t="s">
        <v>1407</v>
      </c>
      <c r="H7" t="s">
        <v>1439</v>
      </c>
    </row>
    <row r="8" spans="1:8" x14ac:dyDescent="0.25">
      <c r="B8" s="12" t="s">
        <v>1429</v>
      </c>
      <c r="D8" t="s">
        <v>1405</v>
      </c>
      <c r="E8" t="s">
        <v>1406</v>
      </c>
      <c r="F8">
        <v>1</v>
      </c>
      <c r="G8" t="s">
        <v>1407</v>
      </c>
      <c r="H8" t="s">
        <v>1440</v>
      </c>
    </row>
    <row r="9" spans="1:8" x14ac:dyDescent="0.25">
      <c r="B9" s="12" t="s">
        <v>1430</v>
      </c>
      <c r="D9" t="s">
        <v>1405</v>
      </c>
      <c r="E9" t="s">
        <v>1406</v>
      </c>
      <c r="F9">
        <v>1</v>
      </c>
      <c r="G9" t="s">
        <v>1407</v>
      </c>
      <c r="H9" t="s">
        <v>1441</v>
      </c>
    </row>
    <row r="10" spans="1:8" x14ac:dyDescent="0.25">
      <c r="B10" s="12" t="s">
        <v>1431</v>
      </c>
      <c r="D10" t="s">
        <v>1405</v>
      </c>
      <c r="E10" t="s">
        <v>1406</v>
      </c>
      <c r="F10">
        <v>1</v>
      </c>
      <c r="G10" t="s">
        <v>1407</v>
      </c>
      <c r="H10" t="s">
        <v>1442</v>
      </c>
    </row>
    <row r="11" spans="1:8" x14ac:dyDescent="0.25">
      <c r="B11" s="12" t="s">
        <v>1432</v>
      </c>
      <c r="D11" t="s">
        <v>1405</v>
      </c>
      <c r="E11" t="s">
        <v>1406</v>
      </c>
      <c r="F11">
        <v>1</v>
      </c>
      <c r="G11" t="s">
        <v>1407</v>
      </c>
      <c r="H11" t="s">
        <v>1443</v>
      </c>
    </row>
    <row r="12" spans="1:8" x14ac:dyDescent="0.25">
      <c r="B12" s="12" t="s">
        <v>1433</v>
      </c>
      <c r="D12" t="s">
        <v>1405</v>
      </c>
      <c r="E12" t="s">
        <v>1406</v>
      </c>
      <c r="F12">
        <v>1</v>
      </c>
      <c r="G12" t="s">
        <v>1407</v>
      </c>
      <c r="H12" t="s">
        <v>1444</v>
      </c>
    </row>
    <row r="13" spans="1:8" x14ac:dyDescent="0.25">
      <c r="B13" s="12" t="s">
        <v>1434</v>
      </c>
      <c r="D13" t="s">
        <v>1405</v>
      </c>
      <c r="E13" t="s">
        <v>1406</v>
      </c>
      <c r="F13">
        <v>1</v>
      </c>
      <c r="G13" t="s">
        <v>1407</v>
      </c>
      <c r="H13" t="s">
        <v>1445</v>
      </c>
    </row>
    <row r="14" spans="1:8" x14ac:dyDescent="0.25">
      <c r="A14" t="s">
        <v>1747</v>
      </c>
      <c r="B14" s="19" t="s">
        <v>1446</v>
      </c>
      <c r="D14" t="s">
        <v>1405</v>
      </c>
      <c r="E14" t="s">
        <v>1406</v>
      </c>
      <c r="F14">
        <v>1</v>
      </c>
      <c r="G14" t="s">
        <v>1407</v>
      </c>
      <c r="H14" t="s">
        <v>1447</v>
      </c>
    </row>
    <row r="15" spans="1:8" x14ac:dyDescent="0.25">
      <c r="B15" s="12" t="s">
        <v>1449</v>
      </c>
      <c r="D15" t="s">
        <v>1405</v>
      </c>
      <c r="E15" t="s">
        <v>1406</v>
      </c>
      <c r="F15">
        <v>1</v>
      </c>
      <c r="G15" t="s">
        <v>1407</v>
      </c>
      <c r="H15" t="s">
        <v>1448</v>
      </c>
    </row>
    <row r="16" spans="1:8" x14ac:dyDescent="0.25">
      <c r="B16" s="12" t="s">
        <v>1450</v>
      </c>
      <c r="D16" t="s">
        <v>1405</v>
      </c>
      <c r="E16" t="s">
        <v>1406</v>
      </c>
      <c r="F16">
        <v>1</v>
      </c>
      <c r="G16" t="s">
        <v>1407</v>
      </c>
      <c r="H16" t="s">
        <v>1451</v>
      </c>
    </row>
    <row r="17" spans="2:8" x14ac:dyDescent="0.25">
      <c r="B17" s="12" t="s">
        <v>1454</v>
      </c>
      <c r="D17" t="s">
        <v>1405</v>
      </c>
      <c r="E17" t="s">
        <v>1406</v>
      </c>
      <c r="F17">
        <v>1</v>
      </c>
      <c r="G17" t="s">
        <v>1407</v>
      </c>
      <c r="H17" t="s">
        <v>1455</v>
      </c>
    </row>
    <row r="18" spans="2:8" x14ac:dyDescent="0.25">
      <c r="B18" s="12" t="s">
        <v>1614</v>
      </c>
      <c r="D18" t="s">
        <v>1405</v>
      </c>
      <c r="E18" t="s">
        <v>1406</v>
      </c>
      <c r="F18">
        <v>1</v>
      </c>
      <c r="G18" t="s">
        <v>1407</v>
      </c>
      <c r="H18" t="s">
        <v>1612</v>
      </c>
    </row>
    <row r="19" spans="2:8" x14ac:dyDescent="0.25">
      <c r="B19" s="12" t="s">
        <v>1615</v>
      </c>
      <c r="D19" t="s">
        <v>1405</v>
      </c>
      <c r="E19" t="s">
        <v>1406</v>
      </c>
      <c r="F19">
        <v>1</v>
      </c>
      <c r="G19" t="s">
        <v>1407</v>
      </c>
      <c r="H19" t="s">
        <v>1613</v>
      </c>
    </row>
    <row r="20" spans="2:8" x14ac:dyDescent="0.25">
      <c r="B20" s="19"/>
      <c r="C20" s="5"/>
      <c r="D20" s="5"/>
      <c r="E20" s="5"/>
      <c r="F20" s="5"/>
      <c r="G20" s="5"/>
      <c r="H20" s="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108"/>
  <sheetViews>
    <sheetView topLeftCell="A25" workbookViewId="0">
      <selection activeCell="C111" sqref="C111"/>
    </sheetView>
  </sheetViews>
  <sheetFormatPr defaultRowHeight="15" x14ac:dyDescent="0.25"/>
  <cols>
    <col min="2" max="2" width="3" bestFit="1" customWidth="1"/>
    <col min="3" max="3" width="16.5703125" customWidth="1"/>
    <col min="4" max="4" width="12.42578125" bestFit="1" customWidth="1"/>
    <col min="5" max="5" width="18.28515625" customWidth="1"/>
    <col min="6" max="6" width="18.7109375" bestFit="1" customWidth="1"/>
    <col min="8" max="8" width="15.42578125" bestFit="1" customWidth="1"/>
    <col min="9" max="9" width="14.85546875" bestFit="1" customWidth="1"/>
    <col min="10" max="10" width="11.7109375" bestFit="1" customWidth="1"/>
  </cols>
  <sheetData>
    <row r="2" spans="1:12" x14ac:dyDescent="0.25">
      <c r="A2" t="s">
        <v>259</v>
      </c>
      <c r="B2" s="57" t="s">
        <v>116</v>
      </c>
      <c r="C2" s="2" t="s">
        <v>112</v>
      </c>
      <c r="D2" s="2" t="s">
        <v>113</v>
      </c>
      <c r="E2" s="2" t="s">
        <v>43</v>
      </c>
      <c r="F2" s="2" t="s">
        <v>32</v>
      </c>
      <c r="G2" s="2" t="s">
        <v>32</v>
      </c>
      <c r="H2" s="2" t="s">
        <v>114</v>
      </c>
      <c r="I2" s="2" t="s">
        <v>115</v>
      </c>
      <c r="J2" s="2" t="s">
        <v>115</v>
      </c>
      <c r="K2" s="2"/>
      <c r="L2" s="2"/>
    </row>
    <row r="3" spans="1:12" x14ac:dyDescent="0.25">
      <c r="A3" t="s">
        <v>259</v>
      </c>
      <c r="B3" s="58"/>
      <c r="C3" s="2" t="s">
        <v>113</v>
      </c>
      <c r="D3" s="2" t="s">
        <v>112</v>
      </c>
      <c r="E3" s="2" t="s">
        <v>32</v>
      </c>
      <c r="F3" s="2" t="s">
        <v>114</v>
      </c>
      <c r="G3" s="2" t="s">
        <v>32</v>
      </c>
      <c r="H3" s="2" t="s">
        <v>115</v>
      </c>
      <c r="I3" s="2" t="s">
        <v>43</v>
      </c>
      <c r="J3" s="2" t="s">
        <v>115</v>
      </c>
      <c r="K3" s="2"/>
      <c r="L3" s="2"/>
    </row>
    <row r="4" spans="1:12" x14ac:dyDescent="0.25">
      <c r="A4" t="s">
        <v>259</v>
      </c>
      <c r="B4" s="57" t="s">
        <v>117</v>
      </c>
      <c r="C4" s="2" t="s">
        <v>112</v>
      </c>
      <c r="D4" s="2" t="s">
        <v>118</v>
      </c>
      <c r="E4" s="2" t="s">
        <v>27</v>
      </c>
      <c r="F4" s="2" t="s">
        <v>32</v>
      </c>
      <c r="G4" s="2" t="s">
        <v>32</v>
      </c>
      <c r="H4" s="2" t="s">
        <v>119</v>
      </c>
      <c r="I4" s="2" t="s">
        <v>115</v>
      </c>
      <c r="J4" s="2" t="s">
        <v>115</v>
      </c>
      <c r="K4" s="2"/>
      <c r="L4" s="2"/>
    </row>
    <row r="5" spans="1:12" x14ac:dyDescent="0.25">
      <c r="A5" t="s">
        <v>259</v>
      </c>
      <c r="B5" s="58"/>
      <c r="C5" s="2" t="s">
        <v>118</v>
      </c>
      <c r="D5" s="2" t="s">
        <v>112</v>
      </c>
      <c r="E5" s="2" t="s">
        <v>32</v>
      </c>
      <c r="F5" s="2" t="s">
        <v>119</v>
      </c>
      <c r="G5" s="2" t="s">
        <v>32</v>
      </c>
      <c r="H5" s="2" t="s">
        <v>115</v>
      </c>
      <c r="I5" s="2" t="s">
        <v>27</v>
      </c>
      <c r="J5" s="2" t="s">
        <v>115</v>
      </c>
      <c r="K5" s="2"/>
      <c r="L5" s="2"/>
    </row>
    <row r="6" spans="1:12" x14ac:dyDescent="0.25">
      <c r="A6" t="s">
        <v>259</v>
      </c>
      <c r="B6" s="57" t="s">
        <v>120</v>
      </c>
      <c r="C6" s="2" t="s">
        <v>112</v>
      </c>
      <c r="D6" s="2" t="s">
        <v>113</v>
      </c>
      <c r="E6" s="2" t="s">
        <v>27</v>
      </c>
      <c r="F6" s="2" t="s">
        <v>32</v>
      </c>
      <c r="G6" s="2" t="s">
        <v>32</v>
      </c>
      <c r="H6" s="2" t="s">
        <v>121</v>
      </c>
      <c r="I6" s="2" t="s">
        <v>115</v>
      </c>
      <c r="J6" s="2" t="s">
        <v>115</v>
      </c>
      <c r="K6" s="2"/>
      <c r="L6" s="2"/>
    </row>
    <row r="7" spans="1:12" x14ac:dyDescent="0.25">
      <c r="A7" t="s">
        <v>259</v>
      </c>
      <c r="B7" s="58"/>
      <c r="C7" s="2" t="s">
        <v>113</v>
      </c>
      <c r="D7" s="2" t="s">
        <v>112</v>
      </c>
      <c r="E7" s="2" t="s">
        <v>32</v>
      </c>
      <c r="F7" s="2" t="s">
        <v>121</v>
      </c>
      <c r="G7" s="2" t="s">
        <v>32</v>
      </c>
      <c r="H7" s="2" t="s">
        <v>115</v>
      </c>
      <c r="I7" s="2" t="s">
        <v>27</v>
      </c>
      <c r="J7" s="2" t="s">
        <v>115</v>
      </c>
      <c r="K7" s="2"/>
      <c r="L7" s="2"/>
    </row>
    <row r="8" spans="1:12" x14ac:dyDescent="0.25">
      <c r="A8" t="s">
        <v>259</v>
      </c>
      <c r="B8" s="57" t="s">
        <v>122</v>
      </c>
      <c r="C8" s="2" t="s">
        <v>112</v>
      </c>
      <c r="D8" s="2" t="s">
        <v>113</v>
      </c>
      <c r="E8" s="2" t="s">
        <v>12</v>
      </c>
      <c r="F8" s="2" t="s">
        <v>32</v>
      </c>
      <c r="G8" s="2" t="s">
        <v>32</v>
      </c>
      <c r="H8" s="2" t="s">
        <v>123</v>
      </c>
      <c r="I8" s="2" t="s">
        <v>115</v>
      </c>
      <c r="J8" s="2" t="s">
        <v>115</v>
      </c>
      <c r="K8" s="2"/>
      <c r="L8" s="2"/>
    </row>
    <row r="9" spans="1:12" x14ac:dyDescent="0.25">
      <c r="A9" t="s">
        <v>259</v>
      </c>
      <c r="B9" s="58"/>
      <c r="C9" s="2" t="s">
        <v>113</v>
      </c>
      <c r="D9" s="2" t="s">
        <v>112</v>
      </c>
      <c r="E9" s="2" t="s">
        <v>32</v>
      </c>
      <c r="F9" s="2" t="s">
        <v>123</v>
      </c>
      <c r="G9" s="2" t="s">
        <v>32</v>
      </c>
      <c r="H9" s="2" t="s">
        <v>115</v>
      </c>
      <c r="I9" s="2" t="s">
        <v>12</v>
      </c>
      <c r="J9" s="2" t="s">
        <v>115</v>
      </c>
      <c r="K9" s="2"/>
      <c r="L9" s="2"/>
    </row>
    <row r="10" spans="1:12" x14ac:dyDescent="0.25">
      <c r="A10" t="s">
        <v>259</v>
      </c>
      <c r="B10" s="57" t="s">
        <v>124</v>
      </c>
      <c r="C10" s="2" t="s">
        <v>112</v>
      </c>
      <c r="D10" s="2" t="s">
        <v>118</v>
      </c>
      <c r="E10" s="2" t="s">
        <v>12</v>
      </c>
      <c r="F10" s="2" t="s">
        <v>32</v>
      </c>
      <c r="G10" s="2" t="s">
        <v>32</v>
      </c>
      <c r="H10" s="2" t="s">
        <v>125</v>
      </c>
      <c r="I10" s="2" t="s">
        <v>115</v>
      </c>
      <c r="J10" s="2" t="s">
        <v>115</v>
      </c>
      <c r="K10" s="2"/>
      <c r="L10" s="2"/>
    </row>
    <row r="11" spans="1:12" x14ac:dyDescent="0.25">
      <c r="A11" t="s">
        <v>259</v>
      </c>
      <c r="B11" s="58"/>
      <c r="C11" s="2" t="s">
        <v>118</v>
      </c>
      <c r="D11" s="2" t="s">
        <v>112</v>
      </c>
      <c r="E11" s="2" t="s">
        <v>32</v>
      </c>
      <c r="F11" s="2" t="s">
        <v>125</v>
      </c>
      <c r="G11" s="2" t="s">
        <v>32</v>
      </c>
      <c r="H11" s="2" t="s">
        <v>115</v>
      </c>
      <c r="I11" s="2" t="s">
        <v>12</v>
      </c>
      <c r="J11" s="2" t="s">
        <v>115</v>
      </c>
      <c r="K11" s="2"/>
      <c r="L11" s="2"/>
    </row>
    <row r="12" spans="1:12" x14ac:dyDescent="0.25">
      <c r="A12" t="s">
        <v>259</v>
      </c>
      <c r="B12" s="57" t="s">
        <v>126</v>
      </c>
      <c r="C12" s="2" t="s">
        <v>112</v>
      </c>
      <c r="D12" s="2" t="s">
        <v>113</v>
      </c>
      <c r="E12" s="2" t="s">
        <v>16</v>
      </c>
      <c r="F12" s="2" t="s">
        <v>32</v>
      </c>
      <c r="G12" s="2" t="s">
        <v>32</v>
      </c>
      <c r="H12" s="2" t="s">
        <v>127</v>
      </c>
      <c r="I12" s="2" t="s">
        <v>115</v>
      </c>
      <c r="J12" s="2" t="s">
        <v>115</v>
      </c>
      <c r="K12" s="2"/>
      <c r="L12" s="2"/>
    </row>
    <row r="13" spans="1:12" x14ac:dyDescent="0.25">
      <c r="A13" t="s">
        <v>259</v>
      </c>
      <c r="B13" s="58"/>
      <c r="C13" s="2" t="s">
        <v>113</v>
      </c>
      <c r="D13" s="2" t="s">
        <v>112</v>
      </c>
      <c r="E13" s="2" t="s">
        <v>32</v>
      </c>
      <c r="F13" s="2" t="s">
        <v>127</v>
      </c>
      <c r="G13" s="2" t="s">
        <v>32</v>
      </c>
      <c r="H13" s="2" t="s">
        <v>115</v>
      </c>
      <c r="I13" s="2" t="s">
        <v>16</v>
      </c>
      <c r="J13" s="2" t="s">
        <v>115</v>
      </c>
      <c r="K13" s="2"/>
      <c r="L13" s="2"/>
    </row>
    <row r="14" spans="1:12" x14ac:dyDescent="0.25">
      <c r="A14" t="s">
        <v>259</v>
      </c>
      <c r="B14" s="57" t="s">
        <v>128</v>
      </c>
      <c r="C14" s="2" t="s">
        <v>112</v>
      </c>
      <c r="D14" s="2" t="s">
        <v>118</v>
      </c>
      <c r="E14" s="2" t="s">
        <v>16</v>
      </c>
      <c r="F14" s="2" t="s">
        <v>32</v>
      </c>
      <c r="G14" s="2" t="s">
        <v>32</v>
      </c>
      <c r="H14" s="2" t="s">
        <v>129</v>
      </c>
      <c r="I14" s="2" t="s">
        <v>115</v>
      </c>
      <c r="J14" s="2" t="s">
        <v>115</v>
      </c>
      <c r="K14" s="2"/>
      <c r="L14" s="2"/>
    </row>
    <row r="15" spans="1:12" x14ac:dyDescent="0.25">
      <c r="A15" t="s">
        <v>259</v>
      </c>
      <c r="B15" s="58"/>
      <c r="C15" s="2" t="s">
        <v>118</v>
      </c>
      <c r="D15" s="2" t="s">
        <v>112</v>
      </c>
      <c r="E15" s="2" t="s">
        <v>32</v>
      </c>
      <c r="F15" s="2" t="s">
        <v>129</v>
      </c>
      <c r="G15" s="2" t="s">
        <v>32</v>
      </c>
      <c r="H15" s="2" t="s">
        <v>115</v>
      </c>
      <c r="I15" s="2" t="s">
        <v>16</v>
      </c>
      <c r="J15" s="2" t="s">
        <v>115</v>
      </c>
      <c r="K15" s="2"/>
      <c r="L15" s="2"/>
    </row>
    <row r="16" spans="1:12" x14ac:dyDescent="0.25">
      <c r="A16" t="s">
        <v>259</v>
      </c>
      <c r="B16" s="57" t="s">
        <v>130</v>
      </c>
      <c r="C16" s="2" t="s">
        <v>112</v>
      </c>
      <c r="D16" s="2" t="s">
        <v>118</v>
      </c>
      <c r="E16" s="2" t="s">
        <v>17</v>
      </c>
      <c r="F16" s="2" t="s">
        <v>32</v>
      </c>
      <c r="G16" s="2" t="s">
        <v>32</v>
      </c>
      <c r="H16" s="2" t="s">
        <v>131</v>
      </c>
      <c r="I16" s="2" t="s">
        <v>115</v>
      </c>
      <c r="J16" s="2" t="s">
        <v>115</v>
      </c>
      <c r="K16" s="2"/>
      <c r="L16" s="2"/>
    </row>
    <row r="17" spans="1:12" x14ac:dyDescent="0.25">
      <c r="A17" t="s">
        <v>259</v>
      </c>
      <c r="B17" s="58"/>
      <c r="C17" s="2" t="s">
        <v>118</v>
      </c>
      <c r="D17" s="2" t="s">
        <v>112</v>
      </c>
      <c r="E17" s="2" t="s">
        <v>32</v>
      </c>
      <c r="F17" s="2" t="s">
        <v>131</v>
      </c>
      <c r="G17" s="2" t="s">
        <v>32</v>
      </c>
      <c r="H17" s="2" t="s">
        <v>115</v>
      </c>
      <c r="I17" s="2" t="s">
        <v>17</v>
      </c>
      <c r="J17" s="2" t="s">
        <v>115</v>
      </c>
      <c r="K17" s="2"/>
      <c r="L17" s="2"/>
    </row>
    <row r="18" spans="1:12" x14ac:dyDescent="0.25">
      <c r="A18" t="s">
        <v>259</v>
      </c>
      <c r="B18" s="57" t="s">
        <v>132</v>
      </c>
      <c r="C18" s="2" t="s">
        <v>112</v>
      </c>
      <c r="D18" s="2" t="s">
        <v>113</v>
      </c>
      <c r="E18" s="2" t="s">
        <v>15</v>
      </c>
      <c r="F18" s="2" t="s">
        <v>32</v>
      </c>
      <c r="G18" s="2" t="s">
        <v>32</v>
      </c>
      <c r="H18" s="2" t="s">
        <v>133</v>
      </c>
      <c r="I18" s="2" t="s">
        <v>115</v>
      </c>
      <c r="J18" s="2" t="s">
        <v>115</v>
      </c>
      <c r="K18" s="2"/>
      <c r="L18" s="2"/>
    </row>
    <row r="19" spans="1:12" x14ac:dyDescent="0.25">
      <c r="A19" t="s">
        <v>259</v>
      </c>
      <c r="B19" s="58"/>
      <c r="C19" s="2" t="s">
        <v>113</v>
      </c>
      <c r="D19" s="2" t="s">
        <v>112</v>
      </c>
      <c r="E19" s="2" t="s">
        <v>32</v>
      </c>
      <c r="F19" s="2" t="s">
        <v>133</v>
      </c>
      <c r="G19" s="2" t="s">
        <v>32</v>
      </c>
      <c r="H19" s="2" t="s">
        <v>115</v>
      </c>
      <c r="I19" s="2" t="s">
        <v>15</v>
      </c>
      <c r="J19" s="2" t="s">
        <v>115</v>
      </c>
      <c r="K19" s="2"/>
      <c r="L19" s="2"/>
    </row>
    <row r="20" spans="1:12" x14ac:dyDescent="0.25">
      <c r="A20" t="s">
        <v>259</v>
      </c>
      <c r="B20" s="57" t="s">
        <v>134</v>
      </c>
      <c r="C20" s="2" t="s">
        <v>112</v>
      </c>
      <c r="D20" s="2" t="s">
        <v>118</v>
      </c>
      <c r="E20" s="2" t="s">
        <v>15</v>
      </c>
      <c r="F20" s="2" t="s">
        <v>32</v>
      </c>
      <c r="G20" s="2" t="s">
        <v>32</v>
      </c>
      <c r="H20" s="2" t="s">
        <v>135</v>
      </c>
      <c r="I20" s="2" t="s">
        <v>115</v>
      </c>
      <c r="J20" s="2" t="s">
        <v>115</v>
      </c>
      <c r="K20" s="2"/>
      <c r="L20" s="2"/>
    </row>
    <row r="21" spans="1:12" x14ac:dyDescent="0.25">
      <c r="A21" t="s">
        <v>259</v>
      </c>
      <c r="B21" s="58"/>
      <c r="C21" s="2" t="s">
        <v>118</v>
      </c>
      <c r="D21" s="2" t="s">
        <v>112</v>
      </c>
      <c r="E21" s="2" t="s">
        <v>32</v>
      </c>
      <c r="F21" s="2" t="s">
        <v>135</v>
      </c>
      <c r="G21" s="2" t="s">
        <v>32</v>
      </c>
      <c r="H21" s="2" t="s">
        <v>115</v>
      </c>
      <c r="I21" s="2" t="s">
        <v>15</v>
      </c>
      <c r="J21" s="2" t="s">
        <v>115</v>
      </c>
      <c r="K21" s="2"/>
      <c r="L21" s="2"/>
    </row>
    <row r="22" spans="1:12" x14ac:dyDescent="0.25">
      <c r="A22" t="s">
        <v>259</v>
      </c>
      <c r="B22" s="57" t="s">
        <v>136</v>
      </c>
      <c r="C22" s="2" t="s">
        <v>112</v>
      </c>
      <c r="D22" s="2" t="s">
        <v>118</v>
      </c>
      <c r="E22" s="2" t="s">
        <v>23</v>
      </c>
      <c r="F22" s="2" t="s">
        <v>32</v>
      </c>
      <c r="G22" s="2" t="s">
        <v>32</v>
      </c>
      <c r="H22" s="2" t="s">
        <v>137</v>
      </c>
      <c r="I22" s="2" t="s">
        <v>115</v>
      </c>
      <c r="J22" s="2" t="s">
        <v>115</v>
      </c>
      <c r="K22" s="2"/>
      <c r="L22" s="2"/>
    </row>
    <row r="23" spans="1:12" x14ac:dyDescent="0.25">
      <c r="A23" t="s">
        <v>259</v>
      </c>
      <c r="B23" s="58"/>
      <c r="C23" s="2" t="s">
        <v>118</v>
      </c>
      <c r="D23" s="2" t="s">
        <v>112</v>
      </c>
      <c r="E23" s="2" t="s">
        <v>32</v>
      </c>
      <c r="F23" s="2" t="s">
        <v>137</v>
      </c>
      <c r="G23" s="2" t="s">
        <v>32</v>
      </c>
      <c r="H23" s="2" t="s">
        <v>115</v>
      </c>
      <c r="I23" s="2" t="s">
        <v>23</v>
      </c>
      <c r="J23" s="2" t="s">
        <v>115</v>
      </c>
      <c r="K23" s="2"/>
      <c r="L23" s="2"/>
    </row>
    <row r="24" spans="1:12" ht="30" x14ac:dyDescent="0.25">
      <c r="A24" t="s">
        <v>259</v>
      </c>
      <c r="B24" s="2" t="s">
        <v>138</v>
      </c>
      <c r="C24" s="2" t="s">
        <v>112</v>
      </c>
      <c r="D24" s="2" t="s">
        <v>113</v>
      </c>
      <c r="E24" s="2" t="s">
        <v>100</v>
      </c>
      <c r="F24" s="2" t="s">
        <v>32</v>
      </c>
      <c r="G24" s="2" t="s">
        <v>32</v>
      </c>
      <c r="H24" s="2" t="s">
        <v>139</v>
      </c>
      <c r="I24" s="2" t="s">
        <v>115</v>
      </c>
      <c r="J24" s="2" t="s">
        <v>115</v>
      </c>
      <c r="K24" s="2"/>
      <c r="L24" s="2"/>
    </row>
    <row r="25" spans="1:12" x14ac:dyDescent="0.25">
      <c r="A25" t="s">
        <v>259</v>
      </c>
      <c r="B25" s="57" t="s">
        <v>140</v>
      </c>
      <c r="C25" s="2" t="s">
        <v>112</v>
      </c>
      <c r="D25" s="2" t="s">
        <v>113</v>
      </c>
      <c r="E25" s="2" t="s">
        <v>23</v>
      </c>
      <c r="F25" s="2" t="s">
        <v>32</v>
      </c>
      <c r="G25" s="2" t="s">
        <v>32</v>
      </c>
      <c r="H25" s="2" t="s">
        <v>141</v>
      </c>
      <c r="I25" s="2" t="s">
        <v>115</v>
      </c>
      <c r="J25" s="2" t="s">
        <v>115</v>
      </c>
      <c r="K25" s="2"/>
      <c r="L25" s="2"/>
    </row>
    <row r="26" spans="1:12" x14ac:dyDescent="0.25">
      <c r="A26" t="s">
        <v>259</v>
      </c>
      <c r="B26" s="58"/>
      <c r="C26" s="2" t="s">
        <v>113</v>
      </c>
      <c r="D26" s="2" t="s">
        <v>112</v>
      </c>
      <c r="E26" s="2" t="s">
        <v>32</v>
      </c>
      <c r="F26" s="2" t="s">
        <v>141</v>
      </c>
      <c r="G26" s="2" t="s">
        <v>32</v>
      </c>
      <c r="H26" s="2" t="s">
        <v>115</v>
      </c>
      <c r="I26" s="2" t="s">
        <v>23</v>
      </c>
      <c r="J26" s="2" t="s">
        <v>115</v>
      </c>
      <c r="K26" s="2"/>
      <c r="L26" s="2"/>
    </row>
    <row r="27" spans="1:12" x14ac:dyDescent="0.25">
      <c r="A27" t="s">
        <v>259</v>
      </c>
      <c r="B27" s="57" t="s">
        <v>142</v>
      </c>
      <c r="C27" s="2" t="s">
        <v>112</v>
      </c>
      <c r="D27" s="2" t="s">
        <v>113</v>
      </c>
      <c r="E27" s="2" t="s">
        <v>20</v>
      </c>
      <c r="F27" s="2" t="s">
        <v>32</v>
      </c>
      <c r="G27" s="2" t="s">
        <v>32</v>
      </c>
      <c r="H27" s="2" t="s">
        <v>143</v>
      </c>
      <c r="I27" s="2" t="s">
        <v>115</v>
      </c>
      <c r="J27" s="2" t="s">
        <v>115</v>
      </c>
      <c r="K27" s="2"/>
      <c r="L27" s="2"/>
    </row>
    <row r="28" spans="1:12" x14ac:dyDescent="0.25">
      <c r="A28" t="s">
        <v>259</v>
      </c>
      <c r="B28" s="58"/>
      <c r="C28" s="2" t="s">
        <v>113</v>
      </c>
      <c r="D28" s="2" t="s">
        <v>112</v>
      </c>
      <c r="E28" s="2" t="s">
        <v>32</v>
      </c>
      <c r="F28" s="2" t="s">
        <v>143</v>
      </c>
      <c r="G28" s="2" t="s">
        <v>32</v>
      </c>
      <c r="H28" s="2" t="s">
        <v>115</v>
      </c>
      <c r="I28" s="2" t="s">
        <v>20</v>
      </c>
      <c r="J28" s="2" t="s">
        <v>115</v>
      </c>
      <c r="K28" s="2"/>
      <c r="L28" s="2"/>
    </row>
    <row r="29" spans="1:12" x14ac:dyDescent="0.25">
      <c r="A29" t="s">
        <v>259</v>
      </c>
      <c r="B29" s="57" t="s">
        <v>144</v>
      </c>
      <c r="C29" s="2" t="s">
        <v>112</v>
      </c>
      <c r="D29" s="2" t="s">
        <v>118</v>
      </c>
      <c r="E29" s="2" t="s">
        <v>20</v>
      </c>
      <c r="F29" s="2" t="s">
        <v>32</v>
      </c>
      <c r="G29" s="2" t="s">
        <v>32</v>
      </c>
      <c r="H29" s="2" t="s">
        <v>145</v>
      </c>
      <c r="I29" s="2" t="s">
        <v>115</v>
      </c>
      <c r="J29" s="2" t="s">
        <v>115</v>
      </c>
      <c r="K29" s="2"/>
      <c r="L29" s="2"/>
    </row>
    <row r="30" spans="1:12" x14ac:dyDescent="0.25">
      <c r="A30" t="s">
        <v>259</v>
      </c>
      <c r="B30" s="58"/>
      <c r="C30" s="2" t="s">
        <v>118</v>
      </c>
      <c r="D30" s="2" t="s">
        <v>112</v>
      </c>
      <c r="E30" s="2" t="s">
        <v>32</v>
      </c>
      <c r="F30" s="2" t="s">
        <v>145</v>
      </c>
      <c r="G30" s="2" t="s">
        <v>32</v>
      </c>
      <c r="H30" s="2" t="s">
        <v>115</v>
      </c>
      <c r="I30" s="2" t="s">
        <v>20</v>
      </c>
      <c r="J30" s="2" t="s">
        <v>115</v>
      </c>
      <c r="K30" s="2"/>
      <c r="L30" s="2"/>
    </row>
    <row r="31" spans="1:12" ht="30" x14ac:dyDescent="0.25">
      <c r="A31" t="s">
        <v>259</v>
      </c>
      <c r="B31" s="57" t="s">
        <v>146</v>
      </c>
      <c r="C31" s="57" t="s">
        <v>118</v>
      </c>
      <c r="D31" s="57" t="s">
        <v>112</v>
      </c>
      <c r="E31" s="1" t="s">
        <v>63</v>
      </c>
      <c r="F31" s="57" t="s">
        <v>147</v>
      </c>
      <c r="G31" s="57" t="s">
        <v>32</v>
      </c>
      <c r="H31" s="57" t="s">
        <v>115</v>
      </c>
      <c r="I31" s="57" t="s">
        <v>148</v>
      </c>
      <c r="J31" s="57" t="s">
        <v>115</v>
      </c>
      <c r="K31" s="57"/>
      <c r="L31" s="57"/>
    </row>
    <row r="32" spans="1:12" x14ac:dyDescent="0.25">
      <c r="A32" t="s">
        <v>259</v>
      </c>
      <c r="B32" s="59"/>
      <c r="C32" s="58"/>
      <c r="D32" s="58"/>
      <c r="E32" s="3" t="s">
        <v>94</v>
      </c>
      <c r="F32" s="58"/>
      <c r="G32" s="58"/>
      <c r="H32" s="58"/>
      <c r="I32" s="58"/>
      <c r="J32" s="58"/>
      <c r="K32" s="58"/>
      <c r="L32" s="58"/>
    </row>
    <row r="33" spans="1:12" ht="30" x14ac:dyDescent="0.25">
      <c r="A33" t="s">
        <v>259</v>
      </c>
      <c r="B33" s="58"/>
      <c r="C33" s="57" t="s">
        <v>112</v>
      </c>
      <c r="D33" s="57" t="s">
        <v>118</v>
      </c>
      <c r="E33" s="57" t="s">
        <v>148</v>
      </c>
      <c r="F33" s="1" t="s">
        <v>63</v>
      </c>
      <c r="G33" s="57" t="s">
        <v>32</v>
      </c>
      <c r="H33" s="57" t="s">
        <v>147</v>
      </c>
      <c r="I33" s="57" t="s">
        <v>115</v>
      </c>
      <c r="J33" s="57" t="s">
        <v>115</v>
      </c>
      <c r="K33" s="57"/>
      <c r="L33" s="57"/>
    </row>
    <row r="34" spans="1:12" x14ac:dyDescent="0.25">
      <c r="A34" t="s">
        <v>259</v>
      </c>
      <c r="C34" s="58"/>
      <c r="D34" s="58"/>
      <c r="E34" s="58"/>
      <c r="F34" s="3" t="s">
        <v>94</v>
      </c>
      <c r="G34" s="58"/>
      <c r="H34" s="58"/>
      <c r="I34" s="58"/>
      <c r="J34" s="58"/>
      <c r="K34" s="58"/>
      <c r="L34" s="58"/>
    </row>
    <row r="35" spans="1:12" x14ac:dyDescent="0.25">
      <c r="A35" t="s">
        <v>259</v>
      </c>
      <c r="B35" s="57" t="s">
        <v>149</v>
      </c>
      <c r="C35" s="2" t="s">
        <v>150</v>
      </c>
      <c r="D35" s="2" t="s">
        <v>113</v>
      </c>
      <c r="E35" s="2" t="s">
        <v>35</v>
      </c>
      <c r="F35" s="2" t="s">
        <v>32</v>
      </c>
      <c r="G35" s="2" t="s">
        <v>32</v>
      </c>
      <c r="H35" s="2" t="s">
        <v>151</v>
      </c>
      <c r="I35" s="2" t="s">
        <v>115</v>
      </c>
      <c r="J35" s="2" t="s">
        <v>115</v>
      </c>
      <c r="K35" s="2"/>
      <c r="L35" s="2"/>
    </row>
    <row r="36" spans="1:12" x14ac:dyDescent="0.25">
      <c r="A36" t="s">
        <v>259</v>
      </c>
      <c r="B36" s="58"/>
      <c r="C36" s="2" t="s">
        <v>113</v>
      </c>
      <c r="D36" s="2" t="s">
        <v>150</v>
      </c>
      <c r="E36" s="2" t="s">
        <v>32</v>
      </c>
      <c r="F36" s="2" t="s">
        <v>151</v>
      </c>
      <c r="G36" s="2" t="s">
        <v>32</v>
      </c>
      <c r="H36" s="2" t="s">
        <v>115</v>
      </c>
      <c r="I36" s="2" t="s">
        <v>35</v>
      </c>
      <c r="J36" s="2" t="s">
        <v>115</v>
      </c>
      <c r="K36" s="2"/>
      <c r="L36" s="2"/>
    </row>
    <row r="37" spans="1:12" x14ac:dyDescent="0.25">
      <c r="A37" t="s">
        <v>259</v>
      </c>
      <c r="B37" s="57" t="s">
        <v>152</v>
      </c>
      <c r="C37" s="2" t="s">
        <v>150</v>
      </c>
      <c r="D37" s="2" t="s">
        <v>113</v>
      </c>
      <c r="E37" s="2" t="s">
        <v>38</v>
      </c>
      <c r="F37" s="2" t="s">
        <v>32</v>
      </c>
      <c r="G37" s="2" t="s">
        <v>32</v>
      </c>
      <c r="H37" s="2" t="s">
        <v>153</v>
      </c>
      <c r="I37" s="2" t="s">
        <v>115</v>
      </c>
      <c r="J37" s="2" t="s">
        <v>115</v>
      </c>
      <c r="K37" s="2"/>
      <c r="L37" s="2"/>
    </row>
    <row r="38" spans="1:12" x14ac:dyDescent="0.25">
      <c r="A38" t="s">
        <v>259</v>
      </c>
      <c r="B38" s="58"/>
      <c r="C38" s="2" t="s">
        <v>113</v>
      </c>
      <c r="D38" s="2" t="s">
        <v>150</v>
      </c>
      <c r="E38" s="2" t="s">
        <v>32</v>
      </c>
      <c r="F38" s="2" t="s">
        <v>153</v>
      </c>
      <c r="G38" s="2" t="s">
        <v>32</v>
      </c>
      <c r="H38" s="2" t="s">
        <v>115</v>
      </c>
      <c r="I38" s="2" t="s">
        <v>38</v>
      </c>
      <c r="J38" s="2" t="s">
        <v>115</v>
      </c>
      <c r="K38" s="2"/>
      <c r="L38" s="2"/>
    </row>
    <row r="39" spans="1:12" x14ac:dyDescent="0.25">
      <c r="A39" t="s">
        <v>259</v>
      </c>
      <c r="B39" s="57" t="s">
        <v>154</v>
      </c>
      <c r="C39" s="2" t="s">
        <v>150</v>
      </c>
      <c r="D39" s="2" t="s">
        <v>113</v>
      </c>
      <c r="E39" s="2" t="s">
        <v>42</v>
      </c>
      <c r="F39" s="2" t="s">
        <v>32</v>
      </c>
      <c r="G39" s="2" t="s">
        <v>32</v>
      </c>
      <c r="H39" s="2" t="s">
        <v>155</v>
      </c>
      <c r="I39" s="2" t="s">
        <v>115</v>
      </c>
      <c r="J39" s="2" t="s">
        <v>115</v>
      </c>
      <c r="K39" s="2"/>
      <c r="L39" s="2"/>
    </row>
    <row r="40" spans="1:12" x14ac:dyDescent="0.25">
      <c r="A40" t="s">
        <v>259</v>
      </c>
      <c r="B40" s="58"/>
      <c r="C40" s="2" t="s">
        <v>113</v>
      </c>
      <c r="D40" s="2" t="s">
        <v>150</v>
      </c>
      <c r="E40" s="2" t="s">
        <v>32</v>
      </c>
      <c r="F40" s="2" t="s">
        <v>155</v>
      </c>
      <c r="G40" s="2" t="s">
        <v>32</v>
      </c>
      <c r="H40" s="2" t="s">
        <v>115</v>
      </c>
      <c r="I40" s="2" t="s">
        <v>42</v>
      </c>
      <c r="J40" s="2" t="s">
        <v>115</v>
      </c>
      <c r="K40" s="2"/>
      <c r="L40" s="2"/>
    </row>
    <row r="41" spans="1:12" x14ac:dyDescent="0.25">
      <c r="A41" t="s">
        <v>259</v>
      </c>
      <c r="B41" s="57" t="s">
        <v>156</v>
      </c>
      <c r="C41" s="2" t="s">
        <v>150</v>
      </c>
      <c r="D41" s="2" t="s">
        <v>113</v>
      </c>
      <c r="E41" s="2" t="s">
        <v>157</v>
      </c>
      <c r="F41" s="2" t="s">
        <v>32</v>
      </c>
      <c r="G41" s="2" t="s">
        <v>32</v>
      </c>
      <c r="H41" s="2" t="s">
        <v>158</v>
      </c>
      <c r="I41" s="2" t="s">
        <v>115</v>
      </c>
      <c r="J41" s="2" t="s">
        <v>115</v>
      </c>
      <c r="K41" s="2"/>
      <c r="L41" s="2"/>
    </row>
    <row r="42" spans="1:12" x14ac:dyDescent="0.25">
      <c r="A42" t="s">
        <v>259</v>
      </c>
      <c r="B42" s="58"/>
      <c r="C42" s="2" t="s">
        <v>113</v>
      </c>
      <c r="D42" s="2" t="s">
        <v>150</v>
      </c>
      <c r="E42" s="2" t="s">
        <v>32</v>
      </c>
      <c r="F42" s="2" t="s">
        <v>158</v>
      </c>
      <c r="G42" s="2" t="s">
        <v>32</v>
      </c>
      <c r="H42" s="2" t="s">
        <v>115</v>
      </c>
      <c r="I42" s="2" t="s">
        <v>157</v>
      </c>
      <c r="J42" s="2" t="s">
        <v>115</v>
      </c>
      <c r="K42" s="2"/>
      <c r="L42" s="2"/>
    </row>
    <row r="43" spans="1:12" x14ac:dyDescent="0.25">
      <c r="A43" t="s">
        <v>259</v>
      </c>
      <c r="B43" s="57" t="s">
        <v>159</v>
      </c>
      <c r="C43" s="2" t="s">
        <v>150</v>
      </c>
      <c r="D43" s="2" t="s">
        <v>113</v>
      </c>
      <c r="E43" s="2" t="s">
        <v>48</v>
      </c>
      <c r="F43" s="2" t="s">
        <v>32</v>
      </c>
      <c r="G43" s="2" t="s">
        <v>32</v>
      </c>
      <c r="H43" s="2" t="s">
        <v>160</v>
      </c>
      <c r="I43" s="2" t="s">
        <v>115</v>
      </c>
      <c r="J43" s="2" t="s">
        <v>115</v>
      </c>
      <c r="K43" s="2"/>
      <c r="L43" s="2"/>
    </row>
    <row r="44" spans="1:12" x14ac:dyDescent="0.25">
      <c r="A44" t="s">
        <v>259</v>
      </c>
      <c r="B44" s="58"/>
      <c r="C44" s="2" t="s">
        <v>113</v>
      </c>
      <c r="D44" s="2" t="s">
        <v>150</v>
      </c>
      <c r="E44" s="2" t="s">
        <v>32</v>
      </c>
      <c r="F44" s="2" t="s">
        <v>160</v>
      </c>
      <c r="G44" s="2" t="s">
        <v>32</v>
      </c>
      <c r="H44" s="2" t="s">
        <v>115</v>
      </c>
      <c r="I44" s="2" t="s">
        <v>48</v>
      </c>
      <c r="J44" s="2" t="s">
        <v>115</v>
      </c>
      <c r="K44" s="2"/>
      <c r="L44" s="2"/>
    </row>
    <row r="45" spans="1:12" x14ac:dyDescent="0.25">
      <c r="A45" t="s">
        <v>259</v>
      </c>
      <c r="B45" s="57" t="s">
        <v>161</v>
      </c>
      <c r="C45" s="2" t="s">
        <v>112</v>
      </c>
      <c r="D45" s="2" t="s">
        <v>150</v>
      </c>
      <c r="E45" s="2" t="s">
        <v>32</v>
      </c>
      <c r="F45" s="2" t="s">
        <v>162</v>
      </c>
      <c r="G45" s="2" t="s">
        <v>32</v>
      </c>
      <c r="H45" s="2" t="s">
        <v>115</v>
      </c>
      <c r="I45" s="2" t="s">
        <v>163</v>
      </c>
      <c r="J45" s="2" t="s">
        <v>115</v>
      </c>
      <c r="K45" s="2"/>
      <c r="L45" s="2"/>
    </row>
    <row r="46" spans="1:12" x14ac:dyDescent="0.25">
      <c r="A46" t="s">
        <v>259</v>
      </c>
      <c r="B46" s="58"/>
      <c r="C46" s="2" t="s">
        <v>150</v>
      </c>
      <c r="D46" s="2" t="s">
        <v>112</v>
      </c>
      <c r="E46" s="2" t="s">
        <v>163</v>
      </c>
      <c r="F46" s="2" t="s">
        <v>32</v>
      </c>
      <c r="G46" s="2" t="s">
        <v>32</v>
      </c>
      <c r="H46" s="2" t="s">
        <v>162</v>
      </c>
      <c r="I46" s="2" t="s">
        <v>115</v>
      </c>
      <c r="J46" s="2" t="s">
        <v>115</v>
      </c>
      <c r="K46" s="2"/>
      <c r="L46" s="2"/>
    </row>
    <row r="47" spans="1:12" x14ac:dyDescent="0.25">
      <c r="A47" t="s">
        <v>259</v>
      </c>
      <c r="B47" s="57" t="s">
        <v>164</v>
      </c>
      <c r="C47" s="2" t="s">
        <v>112</v>
      </c>
      <c r="D47" s="2" t="s">
        <v>150</v>
      </c>
      <c r="E47" s="2" t="s">
        <v>32</v>
      </c>
      <c r="F47" s="2" t="s">
        <v>165</v>
      </c>
      <c r="G47" s="2" t="s">
        <v>32</v>
      </c>
      <c r="H47" s="2" t="s">
        <v>115</v>
      </c>
      <c r="I47" s="2" t="s">
        <v>42</v>
      </c>
      <c r="J47" s="2" t="s">
        <v>115</v>
      </c>
      <c r="K47" s="2"/>
      <c r="L47" s="2"/>
    </row>
    <row r="48" spans="1:12" x14ac:dyDescent="0.25">
      <c r="A48" t="s">
        <v>259</v>
      </c>
      <c r="B48" s="58"/>
      <c r="C48" s="2" t="s">
        <v>150</v>
      </c>
      <c r="D48" s="2" t="s">
        <v>112</v>
      </c>
      <c r="E48" s="2" t="s">
        <v>42</v>
      </c>
      <c r="F48" s="2" t="s">
        <v>32</v>
      </c>
      <c r="G48" s="2" t="s">
        <v>32</v>
      </c>
      <c r="H48" s="2" t="s">
        <v>165</v>
      </c>
      <c r="I48" s="2" t="s">
        <v>115</v>
      </c>
      <c r="J48" s="2" t="s">
        <v>115</v>
      </c>
      <c r="K48" s="2"/>
      <c r="L48" s="2"/>
    </row>
    <row r="49" spans="1:12" x14ac:dyDescent="0.25">
      <c r="A49" t="s">
        <v>259</v>
      </c>
      <c r="B49" s="57" t="s">
        <v>166</v>
      </c>
      <c r="C49" s="2" t="s">
        <v>112</v>
      </c>
      <c r="D49" s="2" t="s">
        <v>113</v>
      </c>
      <c r="E49" s="2" t="s">
        <v>59</v>
      </c>
      <c r="F49" s="2" t="s">
        <v>32</v>
      </c>
      <c r="G49" s="2" t="s">
        <v>32</v>
      </c>
      <c r="H49" s="2" t="s">
        <v>167</v>
      </c>
      <c r="I49" s="2" t="s">
        <v>115</v>
      </c>
      <c r="J49" s="2" t="s">
        <v>115</v>
      </c>
      <c r="K49" s="2"/>
      <c r="L49" s="2"/>
    </row>
    <row r="50" spans="1:12" x14ac:dyDescent="0.25">
      <c r="A50" t="s">
        <v>259</v>
      </c>
      <c r="B50" s="58"/>
      <c r="C50" s="2" t="s">
        <v>113</v>
      </c>
      <c r="D50" s="2" t="s">
        <v>112</v>
      </c>
      <c r="E50" s="2" t="s">
        <v>32</v>
      </c>
      <c r="F50" s="2" t="s">
        <v>167</v>
      </c>
      <c r="G50" s="2" t="s">
        <v>32</v>
      </c>
      <c r="H50" s="2" t="s">
        <v>115</v>
      </c>
      <c r="I50" s="2" t="s">
        <v>59</v>
      </c>
      <c r="J50" s="2" t="s">
        <v>115</v>
      </c>
      <c r="K50" s="2"/>
      <c r="L50" s="2"/>
    </row>
    <row r="51" spans="1:12" x14ac:dyDescent="0.25">
      <c r="A51" t="s">
        <v>259</v>
      </c>
      <c r="B51" s="57" t="s">
        <v>168</v>
      </c>
      <c r="C51" s="2" t="s">
        <v>112</v>
      </c>
      <c r="D51" s="2" t="s">
        <v>113</v>
      </c>
      <c r="E51" s="2" t="s">
        <v>169</v>
      </c>
      <c r="F51" s="2" t="s">
        <v>32</v>
      </c>
      <c r="G51" s="2" t="s">
        <v>32</v>
      </c>
      <c r="H51" s="2" t="s">
        <v>170</v>
      </c>
      <c r="I51" s="2" t="s">
        <v>115</v>
      </c>
      <c r="J51" s="2" t="s">
        <v>115</v>
      </c>
      <c r="K51" s="2"/>
      <c r="L51" s="2"/>
    </row>
    <row r="52" spans="1:12" x14ac:dyDescent="0.25">
      <c r="A52" t="s">
        <v>259</v>
      </c>
      <c r="B52" s="58"/>
      <c r="C52" s="2" t="s">
        <v>113</v>
      </c>
      <c r="D52" s="2" t="s">
        <v>112</v>
      </c>
      <c r="E52" s="2" t="s">
        <v>32</v>
      </c>
      <c r="F52" s="2" t="s">
        <v>170</v>
      </c>
      <c r="G52" s="2" t="s">
        <v>32</v>
      </c>
      <c r="H52" s="2" t="s">
        <v>115</v>
      </c>
      <c r="I52" s="2" t="s">
        <v>169</v>
      </c>
      <c r="J52" s="2" t="s">
        <v>115</v>
      </c>
      <c r="K52" s="2"/>
      <c r="L52" s="2"/>
    </row>
    <row r="53" spans="1:12" x14ac:dyDescent="0.25">
      <c r="A53" t="s">
        <v>259</v>
      </c>
      <c r="B53" s="57" t="s">
        <v>171</v>
      </c>
      <c r="C53" s="2" t="s">
        <v>112</v>
      </c>
      <c r="D53" s="2" t="s">
        <v>113</v>
      </c>
      <c r="E53" s="2" t="s">
        <v>103</v>
      </c>
      <c r="F53" s="2" t="s">
        <v>32</v>
      </c>
      <c r="G53" s="2" t="s">
        <v>32</v>
      </c>
      <c r="H53" s="2" t="s">
        <v>172</v>
      </c>
      <c r="I53" s="2" t="s">
        <v>115</v>
      </c>
      <c r="J53" s="2" t="s">
        <v>115</v>
      </c>
      <c r="K53" s="2"/>
      <c r="L53" s="2"/>
    </row>
    <row r="54" spans="1:12" x14ac:dyDescent="0.25">
      <c r="A54" t="s">
        <v>259</v>
      </c>
      <c r="B54" s="58"/>
      <c r="C54" s="2" t="s">
        <v>113</v>
      </c>
      <c r="D54" s="2" t="s">
        <v>112</v>
      </c>
      <c r="E54" s="2" t="s">
        <v>32</v>
      </c>
      <c r="F54" s="2" t="s">
        <v>172</v>
      </c>
      <c r="G54" s="2" t="s">
        <v>32</v>
      </c>
      <c r="H54" s="2" t="s">
        <v>115</v>
      </c>
      <c r="I54" s="2" t="s">
        <v>103</v>
      </c>
      <c r="J54" s="2" t="s">
        <v>115</v>
      </c>
      <c r="K54" s="2"/>
      <c r="L54" s="2"/>
    </row>
    <row r="55" spans="1:12" ht="30" x14ac:dyDescent="0.25">
      <c r="A55" t="s">
        <v>259</v>
      </c>
      <c r="B55" s="2" t="s">
        <v>173</v>
      </c>
      <c r="C55" s="2" t="s">
        <v>112</v>
      </c>
      <c r="D55" s="2" t="s">
        <v>150</v>
      </c>
      <c r="E55" s="2" t="s">
        <v>43</v>
      </c>
      <c r="F55" s="2" t="s">
        <v>48</v>
      </c>
      <c r="G55" s="2" t="s">
        <v>32</v>
      </c>
      <c r="H55" s="2" t="s">
        <v>115</v>
      </c>
      <c r="I55" s="2" t="s">
        <v>115</v>
      </c>
      <c r="J55" s="2" t="s">
        <v>115</v>
      </c>
      <c r="K55" s="2" t="s">
        <v>174</v>
      </c>
      <c r="L55" s="2"/>
    </row>
    <row r="56" spans="1:12" ht="30" x14ac:dyDescent="0.25">
      <c r="A56" t="s">
        <v>259</v>
      </c>
      <c r="B56" s="2">
        <v>28</v>
      </c>
      <c r="C56" s="2" t="s">
        <v>112</v>
      </c>
      <c r="D56" s="2" t="s">
        <v>150</v>
      </c>
      <c r="E56" s="2" t="s">
        <v>43</v>
      </c>
      <c r="F56" s="2" t="s">
        <v>56</v>
      </c>
      <c r="G56" s="2" t="s">
        <v>32</v>
      </c>
      <c r="H56" s="2" t="s">
        <v>115</v>
      </c>
      <c r="I56" s="2" t="s">
        <v>115</v>
      </c>
      <c r="J56" s="2" t="s">
        <v>115</v>
      </c>
      <c r="K56" s="2" t="s">
        <v>174</v>
      </c>
      <c r="L56" s="2"/>
    </row>
    <row r="57" spans="1:12" ht="30" x14ac:dyDescent="0.25">
      <c r="A57" t="s">
        <v>259</v>
      </c>
      <c r="B57" s="2">
        <v>29</v>
      </c>
      <c r="C57" s="2" t="s">
        <v>118</v>
      </c>
      <c r="D57" s="2" t="s">
        <v>150</v>
      </c>
      <c r="E57" s="2" t="s">
        <v>68</v>
      </c>
      <c r="F57" s="2" t="s">
        <v>175</v>
      </c>
      <c r="G57" s="2" t="s">
        <v>32</v>
      </c>
      <c r="H57" s="2" t="s">
        <v>115</v>
      </c>
      <c r="I57" s="2" t="s">
        <v>56</v>
      </c>
      <c r="J57" s="2" t="s">
        <v>115</v>
      </c>
      <c r="K57" s="2" t="s">
        <v>174</v>
      </c>
      <c r="L57" s="2"/>
    </row>
    <row r="58" spans="1:12" ht="30" x14ac:dyDescent="0.25">
      <c r="A58" t="s">
        <v>259</v>
      </c>
      <c r="B58" s="2">
        <v>30</v>
      </c>
      <c r="C58" s="2" t="s">
        <v>118</v>
      </c>
      <c r="D58" s="2" t="s">
        <v>150</v>
      </c>
      <c r="E58" s="2" t="s">
        <v>74</v>
      </c>
      <c r="F58" s="2" t="s">
        <v>176</v>
      </c>
      <c r="G58" s="2" t="s">
        <v>32</v>
      </c>
      <c r="H58" s="2" t="s">
        <v>115</v>
      </c>
      <c r="I58" s="2" t="s">
        <v>48</v>
      </c>
      <c r="J58" s="2" t="s">
        <v>115</v>
      </c>
      <c r="K58" s="2" t="s">
        <v>174</v>
      </c>
      <c r="L58" s="2"/>
    </row>
    <row r="59" spans="1:12" ht="30" x14ac:dyDescent="0.25">
      <c r="A59" t="s">
        <v>259</v>
      </c>
      <c r="B59" s="2">
        <v>31</v>
      </c>
      <c r="C59" s="2" t="s">
        <v>118</v>
      </c>
      <c r="D59" s="2" t="s">
        <v>150</v>
      </c>
      <c r="E59" s="2" t="s">
        <v>49</v>
      </c>
      <c r="F59" s="2" t="s">
        <v>176</v>
      </c>
      <c r="G59" s="2" t="s">
        <v>32</v>
      </c>
      <c r="H59" s="2" t="s">
        <v>115</v>
      </c>
      <c r="I59" s="2" t="s">
        <v>48</v>
      </c>
      <c r="J59" s="2" t="s">
        <v>115</v>
      </c>
      <c r="K59" s="2" t="s">
        <v>174</v>
      </c>
      <c r="L59" s="2"/>
    </row>
    <row r="60" spans="1:12" ht="30" x14ac:dyDescent="0.25">
      <c r="A60" t="s">
        <v>259</v>
      </c>
      <c r="B60" s="2">
        <v>32</v>
      </c>
      <c r="C60" s="2" t="s">
        <v>118</v>
      </c>
      <c r="D60" s="2" t="s">
        <v>150</v>
      </c>
      <c r="E60" s="2" t="s">
        <v>73</v>
      </c>
      <c r="F60" s="2" t="s">
        <v>177</v>
      </c>
      <c r="G60" s="2" t="s">
        <v>32</v>
      </c>
      <c r="H60" s="2" t="s">
        <v>115</v>
      </c>
      <c r="I60" s="2" t="s">
        <v>72</v>
      </c>
      <c r="J60" s="2" t="s">
        <v>115</v>
      </c>
      <c r="K60" s="2" t="s">
        <v>174</v>
      </c>
      <c r="L60" s="2"/>
    </row>
    <row r="61" spans="1:12" ht="30" x14ac:dyDescent="0.25">
      <c r="A61" t="s">
        <v>259</v>
      </c>
      <c r="B61" s="2">
        <v>33</v>
      </c>
      <c r="C61" s="2" t="s">
        <v>118</v>
      </c>
      <c r="D61" s="2" t="s">
        <v>112</v>
      </c>
      <c r="E61" s="2" t="s">
        <v>63</v>
      </c>
      <c r="F61" s="2" t="s">
        <v>178</v>
      </c>
      <c r="G61" s="2" t="s">
        <v>32</v>
      </c>
      <c r="H61" s="2" t="s">
        <v>115</v>
      </c>
      <c r="I61" s="2" t="s">
        <v>43</v>
      </c>
      <c r="J61" s="2" t="s">
        <v>115</v>
      </c>
      <c r="K61" s="2" t="s">
        <v>174</v>
      </c>
      <c r="L61" s="2"/>
    </row>
    <row r="62" spans="1:12" ht="30" x14ac:dyDescent="0.25">
      <c r="A62" t="s">
        <v>259</v>
      </c>
      <c r="B62" s="57">
        <v>34</v>
      </c>
      <c r="C62" s="57" t="s">
        <v>118</v>
      </c>
      <c r="D62" s="57" t="s">
        <v>150</v>
      </c>
      <c r="E62" s="1" t="s">
        <v>63</v>
      </c>
      <c r="F62" s="57" t="s">
        <v>180</v>
      </c>
      <c r="G62" s="57" t="s">
        <v>32</v>
      </c>
      <c r="H62" s="57" t="s">
        <v>115</v>
      </c>
      <c r="I62" s="57" t="s">
        <v>62</v>
      </c>
      <c r="J62" s="57" t="s">
        <v>115</v>
      </c>
      <c r="K62" s="57" t="s">
        <v>174</v>
      </c>
      <c r="L62" s="57"/>
    </row>
    <row r="63" spans="1:12" ht="30" x14ac:dyDescent="0.25">
      <c r="A63" t="s">
        <v>259</v>
      </c>
      <c r="B63" s="58"/>
      <c r="C63" s="58"/>
      <c r="D63" s="58"/>
      <c r="E63" s="3" t="s">
        <v>179</v>
      </c>
      <c r="F63" s="58"/>
      <c r="G63" s="58"/>
      <c r="H63" s="58"/>
      <c r="I63" s="58"/>
      <c r="J63" s="58"/>
      <c r="K63" s="58"/>
      <c r="L63" s="58"/>
    </row>
    <row r="64" spans="1:12" ht="30" x14ac:dyDescent="0.25">
      <c r="A64" t="s">
        <v>259</v>
      </c>
      <c r="B64" s="57">
        <v>35</v>
      </c>
      <c r="C64" s="57" t="s">
        <v>118</v>
      </c>
      <c r="D64" s="57" t="s">
        <v>150</v>
      </c>
      <c r="E64" s="1" t="s">
        <v>63</v>
      </c>
      <c r="F64" s="57" t="s">
        <v>181</v>
      </c>
      <c r="G64" s="57" t="s">
        <v>32</v>
      </c>
      <c r="H64" s="57" t="s">
        <v>115</v>
      </c>
      <c r="I64" s="57" t="s">
        <v>87</v>
      </c>
      <c r="J64" s="57" t="s">
        <v>115</v>
      </c>
      <c r="K64" s="57" t="s">
        <v>174</v>
      </c>
      <c r="L64" s="57"/>
    </row>
    <row r="65" spans="1:12" ht="30" x14ac:dyDescent="0.25">
      <c r="A65" t="s">
        <v>259</v>
      </c>
      <c r="B65" s="58"/>
      <c r="C65" s="58"/>
      <c r="D65" s="58"/>
      <c r="E65" s="3" t="s">
        <v>86</v>
      </c>
      <c r="F65" s="58"/>
      <c r="G65" s="58"/>
      <c r="H65" s="58"/>
      <c r="I65" s="58"/>
      <c r="J65" s="58"/>
      <c r="K65" s="58"/>
      <c r="L65" s="58"/>
    </row>
    <row r="66" spans="1:12" ht="30" x14ac:dyDescent="0.25">
      <c r="A66" t="s">
        <v>259</v>
      </c>
      <c r="B66" s="2">
        <v>36</v>
      </c>
      <c r="C66" s="2" t="s">
        <v>150</v>
      </c>
      <c r="D66" s="2" t="s">
        <v>112</v>
      </c>
      <c r="E66" s="2" t="s">
        <v>44</v>
      </c>
      <c r="F66" s="2" t="s">
        <v>182</v>
      </c>
      <c r="G66" s="2" t="s">
        <v>32</v>
      </c>
      <c r="H66" s="2" t="s">
        <v>183</v>
      </c>
      <c r="I66" s="2" t="s">
        <v>115</v>
      </c>
      <c r="J66" s="2" t="s">
        <v>115</v>
      </c>
      <c r="K66" s="2"/>
      <c r="L66" s="2"/>
    </row>
    <row r="67" spans="1:12" ht="30" x14ac:dyDescent="0.25">
      <c r="A67" t="s">
        <v>259</v>
      </c>
      <c r="B67" s="2" t="s">
        <v>184</v>
      </c>
      <c r="C67" s="2" t="s">
        <v>112</v>
      </c>
      <c r="D67" s="2" t="s">
        <v>150</v>
      </c>
      <c r="E67" s="2" t="s">
        <v>185</v>
      </c>
      <c r="F67" s="2" t="s">
        <v>186</v>
      </c>
      <c r="G67" s="2" t="s">
        <v>32</v>
      </c>
      <c r="H67" s="2" t="s">
        <v>115</v>
      </c>
      <c r="I67" s="2" t="s">
        <v>187</v>
      </c>
      <c r="J67" s="2" t="s">
        <v>115</v>
      </c>
      <c r="K67" s="2" t="s">
        <v>174</v>
      </c>
      <c r="L67" s="2"/>
    </row>
    <row r="68" spans="1:12" x14ac:dyDescent="0.25">
      <c r="A68" t="s">
        <v>259</v>
      </c>
      <c r="B68" s="57">
        <v>38</v>
      </c>
      <c r="C68" s="2" t="s">
        <v>112</v>
      </c>
      <c r="D68" s="2" t="s">
        <v>113</v>
      </c>
      <c r="E68" s="2" t="s">
        <v>185</v>
      </c>
      <c r="F68" s="2" t="s">
        <v>32</v>
      </c>
      <c r="G68" s="2" t="s">
        <v>32</v>
      </c>
      <c r="H68" s="2" t="s">
        <v>188</v>
      </c>
      <c r="I68" s="2" t="s">
        <v>115</v>
      </c>
      <c r="J68" s="2" t="s">
        <v>115</v>
      </c>
      <c r="K68" s="2"/>
      <c r="L68" s="2"/>
    </row>
    <row r="69" spans="1:12" x14ac:dyDescent="0.25">
      <c r="A69" t="s">
        <v>259</v>
      </c>
      <c r="B69" s="58"/>
      <c r="C69" s="2" t="s">
        <v>113</v>
      </c>
      <c r="D69" s="2" t="s">
        <v>112</v>
      </c>
      <c r="E69" s="2" t="s">
        <v>32</v>
      </c>
      <c r="F69" s="2" t="s">
        <v>188</v>
      </c>
      <c r="G69" s="2" t="s">
        <v>32</v>
      </c>
      <c r="H69" s="2" t="s">
        <v>115</v>
      </c>
      <c r="I69" s="2" t="s">
        <v>185</v>
      </c>
      <c r="J69" s="2" t="s">
        <v>115</v>
      </c>
      <c r="K69" s="2"/>
      <c r="L69" s="2"/>
    </row>
    <row r="70" spans="1:12" ht="30" x14ac:dyDescent="0.25">
      <c r="A70" t="s">
        <v>259</v>
      </c>
      <c r="B70" s="57" t="s">
        <v>189</v>
      </c>
      <c r="C70" s="57" t="s">
        <v>118</v>
      </c>
      <c r="D70" s="57" t="s">
        <v>150</v>
      </c>
      <c r="E70" s="1" t="s">
        <v>85</v>
      </c>
      <c r="F70" s="57" t="s">
        <v>190</v>
      </c>
      <c r="G70" s="57" t="s">
        <v>32</v>
      </c>
      <c r="H70" s="57" t="s">
        <v>115</v>
      </c>
      <c r="I70" s="57" t="s">
        <v>187</v>
      </c>
      <c r="J70" s="57" t="s">
        <v>115</v>
      </c>
      <c r="K70" s="57" t="s">
        <v>174</v>
      </c>
      <c r="L70" s="57"/>
    </row>
    <row r="71" spans="1:12" ht="30" x14ac:dyDescent="0.25">
      <c r="A71" t="s">
        <v>259</v>
      </c>
      <c r="B71" s="58"/>
      <c r="C71" s="58"/>
      <c r="D71" s="58"/>
      <c r="E71" s="3" t="s">
        <v>63</v>
      </c>
      <c r="F71" s="58"/>
      <c r="G71" s="58"/>
      <c r="H71" s="58"/>
      <c r="I71" s="58"/>
      <c r="J71" s="58"/>
      <c r="K71" s="58"/>
      <c r="L71" s="58"/>
    </row>
    <row r="72" spans="1:12" ht="30" x14ac:dyDescent="0.25">
      <c r="A72" t="s">
        <v>259</v>
      </c>
      <c r="B72" s="57">
        <v>40</v>
      </c>
      <c r="C72" s="57" t="s">
        <v>118</v>
      </c>
      <c r="D72" s="57" t="s">
        <v>112</v>
      </c>
      <c r="E72" s="1" t="s">
        <v>85</v>
      </c>
      <c r="F72" s="57" t="s">
        <v>193</v>
      </c>
      <c r="G72" s="57" t="s">
        <v>32</v>
      </c>
      <c r="H72" s="57" t="s">
        <v>115</v>
      </c>
      <c r="I72" s="57" t="s">
        <v>182</v>
      </c>
      <c r="J72" s="57" t="s">
        <v>115</v>
      </c>
      <c r="K72" s="57" t="s">
        <v>174</v>
      </c>
      <c r="L72" s="57"/>
    </row>
    <row r="73" spans="1:12" ht="30" x14ac:dyDescent="0.25">
      <c r="B73" s="59"/>
      <c r="C73" s="59"/>
      <c r="D73" s="59"/>
      <c r="E73" s="4" t="s">
        <v>63</v>
      </c>
      <c r="F73" s="59"/>
      <c r="G73" s="59"/>
      <c r="H73" s="59"/>
      <c r="I73" s="59"/>
      <c r="J73" s="59"/>
      <c r="K73" s="59"/>
      <c r="L73" s="59"/>
    </row>
    <row r="74" spans="1:12" x14ac:dyDescent="0.25">
      <c r="A74" t="s">
        <v>259</v>
      </c>
      <c r="B74" s="59"/>
      <c r="C74" s="59"/>
      <c r="D74" s="59"/>
      <c r="E74" s="4" t="s">
        <v>191</v>
      </c>
      <c r="F74" s="59"/>
      <c r="G74" s="59"/>
      <c r="H74" s="59"/>
      <c r="I74" s="59"/>
      <c r="J74" s="59"/>
      <c r="K74" s="59"/>
      <c r="L74" s="59"/>
    </row>
    <row r="75" spans="1:12" x14ac:dyDescent="0.25">
      <c r="A75" t="s">
        <v>259</v>
      </c>
      <c r="B75" s="58"/>
      <c r="C75" s="58"/>
      <c r="D75" s="58"/>
      <c r="E75" s="3" t="s">
        <v>192</v>
      </c>
      <c r="F75" s="58"/>
      <c r="G75" s="58"/>
      <c r="H75" s="58"/>
      <c r="I75" s="58"/>
      <c r="J75" s="58"/>
      <c r="K75" s="58"/>
      <c r="L75" s="58"/>
    </row>
    <row r="76" spans="1:12" ht="30" x14ac:dyDescent="0.25">
      <c r="A76" t="s">
        <v>259</v>
      </c>
      <c r="B76" s="2">
        <v>41</v>
      </c>
      <c r="C76" s="2" t="s">
        <v>118</v>
      </c>
      <c r="D76" s="2" t="s">
        <v>150</v>
      </c>
      <c r="E76" s="2" t="s">
        <v>63</v>
      </c>
      <c r="F76" s="2" t="s">
        <v>194</v>
      </c>
      <c r="G76" s="2" t="s">
        <v>32</v>
      </c>
      <c r="H76" s="2" t="s">
        <v>115</v>
      </c>
      <c r="I76" s="2" t="s">
        <v>157</v>
      </c>
      <c r="J76" s="2" t="s">
        <v>115</v>
      </c>
      <c r="K76" s="2" t="s">
        <v>174</v>
      </c>
      <c r="L76" s="2"/>
    </row>
    <row r="77" spans="1:12" ht="30" x14ac:dyDescent="0.25">
      <c r="A77" t="s">
        <v>259</v>
      </c>
      <c r="B77" s="2">
        <v>42</v>
      </c>
      <c r="C77" s="2" t="s">
        <v>118</v>
      </c>
      <c r="D77" s="2" t="s">
        <v>150</v>
      </c>
      <c r="E77" s="2" t="s">
        <v>63</v>
      </c>
      <c r="F77" s="2" t="s">
        <v>195</v>
      </c>
      <c r="G77" s="2" t="s">
        <v>32</v>
      </c>
      <c r="H77" s="2" t="s">
        <v>115</v>
      </c>
      <c r="I77" s="2" t="s">
        <v>42</v>
      </c>
      <c r="J77" s="2" t="s">
        <v>115</v>
      </c>
      <c r="K77" s="2" t="s">
        <v>174</v>
      </c>
      <c r="L77" s="2"/>
    </row>
    <row r="78" spans="1:12" ht="45" x14ac:dyDescent="0.25">
      <c r="A78" t="s">
        <v>259</v>
      </c>
      <c r="B78" s="57">
        <v>43</v>
      </c>
      <c r="C78" s="57" t="s">
        <v>118</v>
      </c>
      <c r="D78" s="57" t="s">
        <v>150</v>
      </c>
      <c r="E78" s="1" t="s">
        <v>196</v>
      </c>
      <c r="F78" s="57" t="s">
        <v>198</v>
      </c>
      <c r="G78" s="57" t="s">
        <v>32</v>
      </c>
      <c r="H78" s="57" t="s">
        <v>115</v>
      </c>
      <c r="I78" s="57" t="s">
        <v>38</v>
      </c>
      <c r="J78" s="57" t="s">
        <v>115</v>
      </c>
      <c r="K78" s="57" t="s">
        <v>174</v>
      </c>
      <c r="L78" s="57"/>
    </row>
    <row r="79" spans="1:12" ht="30" x14ac:dyDescent="0.25">
      <c r="A79" t="s">
        <v>259</v>
      </c>
      <c r="B79" s="59"/>
      <c r="C79" s="59"/>
      <c r="D79" s="59"/>
      <c r="E79" s="4" t="s">
        <v>197</v>
      </c>
      <c r="F79" s="59"/>
      <c r="G79" s="59"/>
      <c r="H79" s="59"/>
      <c r="I79" s="59"/>
      <c r="J79" s="59"/>
      <c r="K79" s="59"/>
      <c r="L79" s="59"/>
    </row>
    <row r="80" spans="1:12" ht="30" x14ac:dyDescent="0.25">
      <c r="A80" t="s">
        <v>259</v>
      </c>
      <c r="B80" s="59"/>
      <c r="C80" s="59"/>
      <c r="D80" s="59"/>
      <c r="E80" s="4" t="s">
        <v>63</v>
      </c>
      <c r="F80" s="59"/>
      <c r="G80" s="59"/>
      <c r="H80" s="59"/>
      <c r="I80" s="59"/>
      <c r="J80" s="59"/>
      <c r="K80" s="59"/>
      <c r="L80" s="59"/>
    </row>
    <row r="81" spans="1:12" ht="30" x14ac:dyDescent="0.25">
      <c r="A81" t="s">
        <v>259</v>
      </c>
      <c r="B81" s="58"/>
      <c r="C81" s="58"/>
      <c r="D81" s="58"/>
      <c r="E81" s="3" t="s">
        <v>80</v>
      </c>
      <c r="F81" s="58"/>
      <c r="G81" s="58"/>
      <c r="H81" s="58"/>
      <c r="I81" s="58"/>
      <c r="J81" s="58"/>
      <c r="K81" s="58"/>
      <c r="L81" s="58"/>
    </row>
    <row r="82" spans="1:12" ht="30" x14ac:dyDescent="0.25">
      <c r="A82" t="s">
        <v>259</v>
      </c>
      <c r="B82" s="57">
        <v>44</v>
      </c>
      <c r="C82" s="57" t="s">
        <v>118</v>
      </c>
      <c r="D82" s="57" t="s">
        <v>150</v>
      </c>
      <c r="E82" s="1" t="s">
        <v>63</v>
      </c>
      <c r="F82" s="57" t="s">
        <v>200</v>
      </c>
      <c r="G82" s="57" t="s">
        <v>32</v>
      </c>
      <c r="H82" s="57" t="s">
        <v>115</v>
      </c>
      <c r="I82" s="57" t="s">
        <v>111</v>
      </c>
      <c r="J82" s="57" t="s">
        <v>115</v>
      </c>
      <c r="K82" s="57" t="s">
        <v>174</v>
      </c>
      <c r="L82" s="57"/>
    </row>
    <row r="83" spans="1:12" x14ac:dyDescent="0.25">
      <c r="A83" t="s">
        <v>259</v>
      </c>
      <c r="B83" s="58"/>
      <c r="C83" s="58"/>
      <c r="D83" s="58"/>
      <c r="E83" s="3" t="s">
        <v>199</v>
      </c>
      <c r="F83" s="58"/>
      <c r="G83" s="58"/>
      <c r="H83" s="58"/>
      <c r="I83" s="58"/>
      <c r="J83" s="58"/>
      <c r="K83" s="58"/>
      <c r="L83" s="58"/>
    </row>
    <row r="84" spans="1:12" x14ac:dyDescent="0.25">
      <c r="A84" t="s">
        <v>259</v>
      </c>
      <c r="B84" s="57">
        <v>45</v>
      </c>
      <c r="C84" s="57" t="s">
        <v>118</v>
      </c>
      <c r="D84" s="57" t="s">
        <v>150</v>
      </c>
      <c r="E84" s="1" t="s">
        <v>201</v>
      </c>
      <c r="F84" s="57" t="s">
        <v>195</v>
      </c>
      <c r="G84" s="57" t="s">
        <v>32</v>
      </c>
      <c r="H84" s="57" t="s">
        <v>115</v>
      </c>
      <c r="I84" s="57" t="s">
        <v>42</v>
      </c>
      <c r="J84" s="57" t="s">
        <v>115</v>
      </c>
      <c r="K84" s="57" t="s">
        <v>174</v>
      </c>
      <c r="L84" s="57"/>
    </row>
    <row r="85" spans="1:12" ht="30" x14ac:dyDescent="0.25">
      <c r="A85" t="s">
        <v>259</v>
      </c>
      <c r="B85" s="58"/>
      <c r="C85" s="58"/>
      <c r="D85" s="58"/>
      <c r="E85" s="3" t="s">
        <v>80</v>
      </c>
      <c r="F85" s="58"/>
      <c r="G85" s="58"/>
      <c r="H85" s="58"/>
      <c r="I85" s="58"/>
      <c r="J85" s="58"/>
      <c r="K85" s="58"/>
      <c r="L85" s="58"/>
    </row>
    <row r="86" spans="1:12" ht="30" x14ac:dyDescent="0.25">
      <c r="A86" t="s">
        <v>259</v>
      </c>
      <c r="B86" s="2">
        <v>46</v>
      </c>
      <c r="C86" s="2" t="s">
        <v>118</v>
      </c>
      <c r="D86" s="2" t="s">
        <v>150</v>
      </c>
      <c r="E86" s="2" t="s">
        <v>63</v>
      </c>
      <c r="F86" s="2" t="s">
        <v>202</v>
      </c>
      <c r="G86" s="2" t="s">
        <v>32</v>
      </c>
      <c r="H86" s="2" t="s">
        <v>115</v>
      </c>
      <c r="I86" s="2" t="s">
        <v>77</v>
      </c>
      <c r="J86" s="2" t="s">
        <v>115</v>
      </c>
      <c r="K86" s="2" t="s">
        <v>174</v>
      </c>
      <c r="L86" s="2"/>
    </row>
    <row r="87" spans="1:12" ht="30" x14ac:dyDescent="0.25">
      <c r="A87" t="s">
        <v>259</v>
      </c>
      <c r="B87" s="2">
        <v>47</v>
      </c>
      <c r="C87" s="2" t="s">
        <v>118</v>
      </c>
      <c r="D87" s="2" t="s">
        <v>150</v>
      </c>
      <c r="E87" s="2" t="s">
        <v>66</v>
      </c>
      <c r="F87" s="2" t="s">
        <v>203</v>
      </c>
      <c r="G87" s="2" t="s">
        <v>32</v>
      </c>
      <c r="H87" s="2" t="s">
        <v>115</v>
      </c>
      <c r="I87" s="2" t="s">
        <v>60</v>
      </c>
      <c r="J87" s="2" t="s">
        <v>115</v>
      </c>
      <c r="K87" s="2" t="s">
        <v>174</v>
      </c>
      <c r="L87" s="2"/>
    </row>
    <row r="88" spans="1:12" ht="30" x14ac:dyDescent="0.25">
      <c r="A88" t="s">
        <v>259</v>
      </c>
      <c r="B88" s="57">
        <v>48</v>
      </c>
      <c r="C88" s="57" t="s">
        <v>118</v>
      </c>
      <c r="D88" s="57" t="s">
        <v>150</v>
      </c>
      <c r="E88" s="1" t="s">
        <v>63</v>
      </c>
      <c r="F88" s="57" t="s">
        <v>205</v>
      </c>
      <c r="G88" s="57" t="s">
        <v>32</v>
      </c>
      <c r="H88" s="57" t="s">
        <v>115</v>
      </c>
      <c r="I88" s="57" t="s">
        <v>83</v>
      </c>
      <c r="J88" s="57" t="s">
        <v>115</v>
      </c>
      <c r="K88" s="57" t="s">
        <v>174</v>
      </c>
      <c r="L88" s="57"/>
    </row>
    <row r="89" spans="1:12" ht="30" x14ac:dyDescent="0.25">
      <c r="A89" t="s">
        <v>259</v>
      </c>
      <c r="B89" s="58"/>
      <c r="C89" s="58"/>
      <c r="D89" s="58"/>
      <c r="E89" s="3" t="s">
        <v>204</v>
      </c>
      <c r="F89" s="58"/>
      <c r="G89" s="58"/>
      <c r="H89" s="58"/>
      <c r="I89" s="58"/>
      <c r="J89" s="58"/>
      <c r="K89" s="58"/>
      <c r="L89" s="58"/>
    </row>
    <row r="90" spans="1:12" ht="30" x14ac:dyDescent="0.25">
      <c r="A90" t="s">
        <v>259</v>
      </c>
      <c r="B90" s="57">
        <v>49</v>
      </c>
      <c r="C90" s="57" t="s">
        <v>118</v>
      </c>
      <c r="D90" s="57" t="s">
        <v>150</v>
      </c>
      <c r="E90" s="1" t="s">
        <v>84</v>
      </c>
      <c r="F90" s="57" t="s">
        <v>206</v>
      </c>
      <c r="G90" s="57" t="s">
        <v>32</v>
      </c>
      <c r="H90" s="57" t="s">
        <v>115</v>
      </c>
      <c r="I90" s="57" t="s">
        <v>64</v>
      </c>
      <c r="J90" s="57" t="s">
        <v>115</v>
      </c>
      <c r="K90" s="57" t="s">
        <v>174</v>
      </c>
      <c r="L90" s="57"/>
    </row>
    <row r="91" spans="1:12" ht="30" x14ac:dyDescent="0.25">
      <c r="A91" t="s">
        <v>259</v>
      </c>
      <c r="B91" s="58"/>
      <c r="C91" s="58"/>
      <c r="D91" s="58"/>
      <c r="E91" s="3" t="s">
        <v>63</v>
      </c>
      <c r="F91" s="58"/>
      <c r="G91" s="58"/>
      <c r="H91" s="58"/>
      <c r="I91" s="58"/>
      <c r="J91" s="58"/>
      <c r="K91" s="58"/>
      <c r="L91" s="58"/>
    </row>
    <row r="92" spans="1:12" x14ac:dyDescent="0.25">
      <c r="A92" t="s">
        <v>259</v>
      </c>
      <c r="B92" s="57">
        <v>50</v>
      </c>
      <c r="C92" s="57" t="s">
        <v>112</v>
      </c>
      <c r="D92" s="57" t="s">
        <v>150</v>
      </c>
      <c r="E92" s="57" t="s">
        <v>43</v>
      </c>
      <c r="F92" s="1" t="s">
        <v>64</v>
      </c>
      <c r="G92" s="57" t="s">
        <v>32</v>
      </c>
      <c r="H92" s="57" t="s">
        <v>115</v>
      </c>
      <c r="I92" s="57" t="s">
        <v>115</v>
      </c>
      <c r="J92" s="57" t="s">
        <v>115</v>
      </c>
      <c r="K92" s="57" t="s">
        <v>174</v>
      </c>
      <c r="L92" s="57"/>
    </row>
    <row r="93" spans="1:12" x14ac:dyDescent="0.25">
      <c r="A93" t="s">
        <v>259</v>
      </c>
      <c r="B93" s="59"/>
      <c r="C93" s="59"/>
      <c r="D93" s="59"/>
      <c r="E93" s="59"/>
      <c r="F93" s="4" t="s">
        <v>60</v>
      </c>
      <c r="G93" s="59"/>
      <c r="H93" s="59"/>
      <c r="I93" s="59"/>
      <c r="J93" s="59"/>
      <c r="K93" s="59"/>
      <c r="L93" s="59"/>
    </row>
    <row r="94" spans="1:12" x14ac:dyDescent="0.25">
      <c r="A94" t="s">
        <v>259</v>
      </c>
      <c r="B94" s="58"/>
      <c r="C94" s="58"/>
      <c r="D94" s="58"/>
      <c r="E94" s="58"/>
      <c r="F94" s="3" t="s">
        <v>42</v>
      </c>
      <c r="G94" s="58"/>
      <c r="H94" s="58"/>
      <c r="I94" s="58"/>
      <c r="J94" s="58"/>
      <c r="K94" s="58"/>
      <c r="L94" s="58"/>
    </row>
    <row r="95" spans="1:12" ht="30" x14ac:dyDescent="0.25">
      <c r="A95" t="s">
        <v>259</v>
      </c>
      <c r="B95" s="2">
        <v>51</v>
      </c>
      <c r="C95" s="2" t="s">
        <v>118</v>
      </c>
      <c r="D95" s="2" t="s">
        <v>150</v>
      </c>
      <c r="E95" s="2" t="s">
        <v>69</v>
      </c>
      <c r="F95" s="2" t="s">
        <v>207</v>
      </c>
      <c r="G95" s="2" t="s">
        <v>32</v>
      </c>
      <c r="H95" s="2" t="s">
        <v>115</v>
      </c>
      <c r="I95" s="2" t="s">
        <v>70</v>
      </c>
      <c r="J95" s="2" t="s">
        <v>115</v>
      </c>
      <c r="K95" s="2" t="s">
        <v>174</v>
      </c>
      <c r="L95" s="2"/>
    </row>
    <row r="96" spans="1:12" ht="30" x14ac:dyDescent="0.25">
      <c r="A96" t="s">
        <v>259</v>
      </c>
      <c r="B96" s="57">
        <v>52</v>
      </c>
      <c r="C96" s="57" t="s">
        <v>118</v>
      </c>
      <c r="D96" s="57" t="s">
        <v>150</v>
      </c>
      <c r="E96" s="1" t="s">
        <v>63</v>
      </c>
      <c r="F96" s="57" t="s">
        <v>208</v>
      </c>
      <c r="G96" s="57" t="s">
        <v>32</v>
      </c>
      <c r="H96" s="57" t="s">
        <v>115</v>
      </c>
      <c r="I96" s="57" t="s">
        <v>163</v>
      </c>
      <c r="J96" s="57" t="s">
        <v>115</v>
      </c>
      <c r="K96" s="57" t="s">
        <v>174</v>
      </c>
      <c r="L96" s="57"/>
    </row>
    <row r="97" spans="1:12" ht="30" x14ac:dyDescent="0.25">
      <c r="A97" t="s">
        <v>259</v>
      </c>
      <c r="B97" s="59"/>
      <c r="C97" s="59"/>
      <c r="D97" s="59"/>
      <c r="E97" s="4" t="s">
        <v>80</v>
      </c>
      <c r="F97" s="59"/>
      <c r="G97" s="59"/>
      <c r="H97" s="59"/>
      <c r="I97" s="59"/>
      <c r="J97" s="59"/>
      <c r="K97" s="59"/>
      <c r="L97" s="59"/>
    </row>
    <row r="98" spans="1:12" x14ac:dyDescent="0.25">
      <c r="A98" t="s">
        <v>259</v>
      </c>
      <c r="B98" s="58"/>
      <c r="C98" s="58"/>
      <c r="D98" s="58"/>
      <c r="E98" s="3" t="s">
        <v>81</v>
      </c>
      <c r="F98" s="58"/>
      <c r="G98" s="58"/>
      <c r="H98" s="58"/>
      <c r="I98" s="58"/>
      <c r="J98" s="58"/>
      <c r="K98" s="58"/>
      <c r="L98" s="58"/>
    </row>
    <row r="99" spans="1:12" ht="30" x14ac:dyDescent="0.25">
      <c r="A99" t="s">
        <v>259</v>
      </c>
      <c r="B99" s="2">
        <v>53</v>
      </c>
      <c r="C99" s="2" t="s">
        <v>112</v>
      </c>
      <c r="D99" s="2" t="s">
        <v>150</v>
      </c>
      <c r="E99" s="2" t="s">
        <v>32</v>
      </c>
      <c r="F99" s="2" t="s">
        <v>209</v>
      </c>
      <c r="G99" s="2" t="s">
        <v>32</v>
      </c>
      <c r="H99" s="2" t="s">
        <v>115</v>
      </c>
      <c r="I99" s="2" t="s">
        <v>48</v>
      </c>
      <c r="J99" s="2" t="s">
        <v>115</v>
      </c>
      <c r="K99" s="2" t="s">
        <v>174</v>
      </c>
      <c r="L99" s="2"/>
    </row>
    <row r="100" spans="1:12" ht="30" x14ac:dyDescent="0.25">
      <c r="A100" t="s">
        <v>259</v>
      </c>
      <c r="B100" s="2">
        <v>54</v>
      </c>
      <c r="C100" s="2" t="s">
        <v>112</v>
      </c>
      <c r="D100" s="2" t="s">
        <v>150</v>
      </c>
      <c r="E100" s="2" t="s">
        <v>32</v>
      </c>
      <c r="F100" s="2" t="s">
        <v>210</v>
      </c>
      <c r="G100" s="2" t="s">
        <v>32</v>
      </c>
      <c r="H100" s="2" t="s">
        <v>115</v>
      </c>
      <c r="I100" s="2" t="s">
        <v>56</v>
      </c>
      <c r="J100" s="2" t="s">
        <v>115</v>
      </c>
      <c r="K100" s="2" t="s">
        <v>174</v>
      </c>
      <c r="L100" s="2"/>
    </row>
    <row r="101" spans="1:12" ht="30" x14ac:dyDescent="0.25">
      <c r="A101" t="s">
        <v>259</v>
      </c>
      <c r="B101" s="2">
        <v>55</v>
      </c>
      <c r="C101" s="2" t="s">
        <v>118</v>
      </c>
      <c r="D101" s="2" t="s">
        <v>112</v>
      </c>
      <c r="E101" s="2" t="s">
        <v>63</v>
      </c>
      <c r="F101" s="2" t="s">
        <v>211</v>
      </c>
      <c r="G101" s="2" t="s">
        <v>32</v>
      </c>
      <c r="H101" s="2" t="s">
        <v>115</v>
      </c>
      <c r="I101" s="2" t="s">
        <v>55</v>
      </c>
      <c r="J101" s="2" t="s">
        <v>115</v>
      </c>
      <c r="K101" s="2" t="s">
        <v>174</v>
      </c>
      <c r="L101" s="2"/>
    </row>
    <row r="102" spans="1:12" ht="30" x14ac:dyDescent="0.25">
      <c r="A102" t="s">
        <v>259</v>
      </c>
      <c r="B102" s="2">
        <v>56</v>
      </c>
      <c r="C102" s="2" t="s">
        <v>118</v>
      </c>
      <c r="D102" s="2" t="s">
        <v>112</v>
      </c>
      <c r="E102" s="2" t="s">
        <v>63</v>
      </c>
      <c r="F102" s="2" t="s">
        <v>212</v>
      </c>
      <c r="G102" s="2" t="s">
        <v>32</v>
      </c>
      <c r="H102" s="2" t="s">
        <v>115</v>
      </c>
      <c r="I102" s="2" t="s">
        <v>59</v>
      </c>
      <c r="J102" s="2" t="s">
        <v>115</v>
      </c>
      <c r="K102" s="2" t="s">
        <v>174</v>
      </c>
      <c r="L102" s="2"/>
    </row>
    <row r="103" spans="1:12" ht="30" x14ac:dyDescent="0.25">
      <c r="A103" t="s">
        <v>259</v>
      </c>
      <c r="B103" s="2">
        <v>57</v>
      </c>
      <c r="C103" s="2" t="s">
        <v>118</v>
      </c>
      <c r="D103" s="2" t="s">
        <v>112</v>
      </c>
      <c r="E103" s="2" t="s">
        <v>32</v>
      </c>
      <c r="F103" s="2" t="s">
        <v>213</v>
      </c>
      <c r="G103" s="2" t="s">
        <v>32</v>
      </c>
      <c r="H103" s="2" t="s">
        <v>115</v>
      </c>
      <c r="I103" s="2" t="s">
        <v>50</v>
      </c>
      <c r="J103" s="2" t="s">
        <v>115</v>
      </c>
      <c r="K103" s="2" t="s">
        <v>174</v>
      </c>
      <c r="L103" s="2"/>
    </row>
    <row r="104" spans="1:12" ht="30" x14ac:dyDescent="0.25">
      <c r="A104" t="s">
        <v>259</v>
      </c>
      <c r="B104" s="2">
        <v>58</v>
      </c>
      <c r="C104" s="2" t="s">
        <v>118</v>
      </c>
      <c r="D104" s="2" t="s">
        <v>112</v>
      </c>
      <c r="E104" s="2" t="s">
        <v>32</v>
      </c>
      <c r="F104" s="2" t="s">
        <v>214</v>
      </c>
      <c r="G104" s="2" t="s">
        <v>32</v>
      </c>
      <c r="H104" s="2" t="s">
        <v>115</v>
      </c>
      <c r="I104" s="2" t="s">
        <v>51</v>
      </c>
      <c r="J104" s="2" t="s">
        <v>115</v>
      </c>
      <c r="K104" s="2" t="s">
        <v>174</v>
      </c>
      <c r="L104" s="2"/>
    </row>
    <row r="105" spans="1:12" ht="30" x14ac:dyDescent="0.25">
      <c r="A105" t="s">
        <v>259</v>
      </c>
      <c r="B105" s="57">
        <v>59</v>
      </c>
      <c r="C105" s="57" t="s">
        <v>118</v>
      </c>
      <c r="D105" s="57" t="s">
        <v>150</v>
      </c>
      <c r="E105" s="1" t="s">
        <v>63</v>
      </c>
      <c r="F105" s="57" t="s">
        <v>216</v>
      </c>
      <c r="G105" s="57" t="s">
        <v>32</v>
      </c>
      <c r="H105" s="57" t="s">
        <v>115</v>
      </c>
      <c r="I105" s="57" t="s">
        <v>90</v>
      </c>
      <c r="J105" s="57" t="s">
        <v>115</v>
      </c>
      <c r="K105" s="57" t="s">
        <v>174</v>
      </c>
      <c r="L105" s="57"/>
    </row>
    <row r="106" spans="1:12" x14ac:dyDescent="0.25">
      <c r="A106" t="s">
        <v>259</v>
      </c>
      <c r="B106" s="59"/>
      <c r="C106" s="59"/>
      <c r="D106" s="59"/>
      <c r="E106" s="4" t="s">
        <v>91</v>
      </c>
      <c r="F106" s="59"/>
      <c r="G106" s="59"/>
      <c r="H106" s="59"/>
      <c r="I106" s="59"/>
      <c r="J106" s="59"/>
      <c r="K106" s="59"/>
      <c r="L106" s="59"/>
    </row>
    <row r="107" spans="1:12" x14ac:dyDescent="0.25">
      <c r="A107" t="s">
        <v>259</v>
      </c>
      <c r="B107" s="58"/>
      <c r="C107" s="58"/>
      <c r="D107" s="58"/>
      <c r="E107" s="3" t="s">
        <v>215</v>
      </c>
      <c r="F107" s="58"/>
      <c r="G107" s="58"/>
      <c r="H107" s="58"/>
      <c r="I107" s="58"/>
      <c r="J107" s="58"/>
      <c r="K107" s="58"/>
      <c r="L107" s="58"/>
    </row>
    <row r="108" spans="1:12" x14ac:dyDescent="0.25">
      <c r="A108" t="s">
        <v>259</v>
      </c>
      <c r="B108" s="2">
        <v>60</v>
      </c>
      <c r="C108" s="2" t="s">
        <v>112</v>
      </c>
      <c r="D108" s="2" t="s">
        <v>113</v>
      </c>
      <c r="E108" s="2" t="s">
        <v>217</v>
      </c>
      <c r="F108" s="2" t="s">
        <v>32</v>
      </c>
      <c r="G108" s="2" t="s">
        <v>32</v>
      </c>
      <c r="H108" s="2" t="s">
        <v>218</v>
      </c>
      <c r="I108" s="2" t="s">
        <v>115</v>
      </c>
      <c r="J108" s="2" t="s">
        <v>115</v>
      </c>
      <c r="K108" s="2"/>
      <c r="L108" s="2"/>
    </row>
  </sheetData>
  <mergeCells count="164">
    <mergeCell ref="L105:L107"/>
    <mergeCell ref="J96:J98"/>
    <mergeCell ref="K96:K98"/>
    <mergeCell ref="L96:L98"/>
    <mergeCell ref="B105:B107"/>
    <mergeCell ref="C105:C107"/>
    <mergeCell ref="D105:D107"/>
    <mergeCell ref="F105:F107"/>
    <mergeCell ref="G105:G107"/>
    <mergeCell ref="H105:H107"/>
    <mergeCell ref="I105:I107"/>
    <mergeCell ref="B96:B98"/>
    <mergeCell ref="C96:C98"/>
    <mergeCell ref="D96:D98"/>
    <mergeCell ref="F96:F98"/>
    <mergeCell ref="G96:G98"/>
    <mergeCell ref="H96:H98"/>
    <mergeCell ref="I96:I98"/>
    <mergeCell ref="J105:J107"/>
    <mergeCell ref="K105:K107"/>
    <mergeCell ref="L90:L91"/>
    <mergeCell ref="B92:B94"/>
    <mergeCell ref="C92:C94"/>
    <mergeCell ref="D92:D94"/>
    <mergeCell ref="E92:E94"/>
    <mergeCell ref="G92:G94"/>
    <mergeCell ref="H92:H94"/>
    <mergeCell ref="I92:I94"/>
    <mergeCell ref="J92:J94"/>
    <mergeCell ref="K92:K94"/>
    <mergeCell ref="L92:L94"/>
    <mergeCell ref="B90:B91"/>
    <mergeCell ref="C90:C91"/>
    <mergeCell ref="D90:D91"/>
    <mergeCell ref="F90:F91"/>
    <mergeCell ref="G90:G91"/>
    <mergeCell ref="H90:H91"/>
    <mergeCell ref="I90:I91"/>
    <mergeCell ref="J90:J91"/>
    <mergeCell ref="K90:K91"/>
    <mergeCell ref="L84:L85"/>
    <mergeCell ref="B88:B89"/>
    <mergeCell ref="C88:C89"/>
    <mergeCell ref="D88:D89"/>
    <mergeCell ref="F88:F89"/>
    <mergeCell ref="G88:G89"/>
    <mergeCell ref="H88:H89"/>
    <mergeCell ref="I88:I89"/>
    <mergeCell ref="J88:J89"/>
    <mergeCell ref="K88:K89"/>
    <mergeCell ref="L88:L89"/>
    <mergeCell ref="B84:B85"/>
    <mergeCell ref="C84:C85"/>
    <mergeCell ref="D84:D85"/>
    <mergeCell ref="F84:F85"/>
    <mergeCell ref="G84:G85"/>
    <mergeCell ref="H84:H85"/>
    <mergeCell ref="I84:I85"/>
    <mergeCell ref="J84:J85"/>
    <mergeCell ref="K84:K85"/>
    <mergeCell ref="L78:L81"/>
    <mergeCell ref="B82:B83"/>
    <mergeCell ref="C82:C83"/>
    <mergeCell ref="D82:D83"/>
    <mergeCell ref="F82:F83"/>
    <mergeCell ref="G82:G83"/>
    <mergeCell ref="H82:H83"/>
    <mergeCell ref="I82:I83"/>
    <mergeCell ref="J82:J83"/>
    <mergeCell ref="K82:K83"/>
    <mergeCell ref="L82:L83"/>
    <mergeCell ref="B78:B81"/>
    <mergeCell ref="C78:C81"/>
    <mergeCell ref="D78:D81"/>
    <mergeCell ref="F78:F81"/>
    <mergeCell ref="G78:G81"/>
    <mergeCell ref="H78:H81"/>
    <mergeCell ref="I78:I81"/>
    <mergeCell ref="J78:J81"/>
    <mergeCell ref="K78:K81"/>
    <mergeCell ref="K70:K71"/>
    <mergeCell ref="L70:L71"/>
    <mergeCell ref="B72:B75"/>
    <mergeCell ref="C72:C75"/>
    <mergeCell ref="D72:D75"/>
    <mergeCell ref="F72:F75"/>
    <mergeCell ref="G72:G75"/>
    <mergeCell ref="H72:H75"/>
    <mergeCell ref="I72:I75"/>
    <mergeCell ref="J72:J75"/>
    <mergeCell ref="K72:K75"/>
    <mergeCell ref="L72:L75"/>
    <mergeCell ref="B68:B69"/>
    <mergeCell ref="B70:B71"/>
    <mergeCell ref="C70:C71"/>
    <mergeCell ref="D70:D71"/>
    <mergeCell ref="F70:F71"/>
    <mergeCell ref="G70:G71"/>
    <mergeCell ref="H70:H71"/>
    <mergeCell ref="I70:I71"/>
    <mergeCell ref="J70:J71"/>
    <mergeCell ref="K62:K63"/>
    <mergeCell ref="L62:L63"/>
    <mergeCell ref="B64:B65"/>
    <mergeCell ref="C64:C65"/>
    <mergeCell ref="D64:D65"/>
    <mergeCell ref="F64:F65"/>
    <mergeCell ref="G64:G65"/>
    <mergeCell ref="H64:H65"/>
    <mergeCell ref="I64:I65"/>
    <mergeCell ref="J64:J65"/>
    <mergeCell ref="D62:D63"/>
    <mergeCell ref="F62:F63"/>
    <mergeCell ref="G62:G63"/>
    <mergeCell ref="H62:H63"/>
    <mergeCell ref="I62:I63"/>
    <mergeCell ref="J62:J63"/>
    <mergeCell ref="K64:K65"/>
    <mergeCell ref="L64:L65"/>
    <mergeCell ref="B47:B48"/>
    <mergeCell ref="B49:B50"/>
    <mergeCell ref="B51:B52"/>
    <mergeCell ref="B53:B54"/>
    <mergeCell ref="B62:B63"/>
    <mergeCell ref="C62:C63"/>
    <mergeCell ref="B35:B36"/>
    <mergeCell ref="B37:B38"/>
    <mergeCell ref="B39:B40"/>
    <mergeCell ref="B41:B42"/>
    <mergeCell ref="B43:B44"/>
    <mergeCell ref="B45:B46"/>
    <mergeCell ref="C33:C34"/>
    <mergeCell ref="D33:D34"/>
    <mergeCell ref="E33:E34"/>
    <mergeCell ref="G33:G34"/>
    <mergeCell ref="H33:H34"/>
    <mergeCell ref="I33:I34"/>
    <mergeCell ref="J33:J34"/>
    <mergeCell ref="K33:K34"/>
    <mergeCell ref="L33:L34"/>
    <mergeCell ref="C31:C32"/>
    <mergeCell ref="D31:D32"/>
    <mergeCell ref="B12:B13"/>
    <mergeCell ref="B14:B15"/>
    <mergeCell ref="B16:B17"/>
    <mergeCell ref="B18:B19"/>
    <mergeCell ref="B20:B21"/>
    <mergeCell ref="B22:B23"/>
    <mergeCell ref="L31:L32"/>
    <mergeCell ref="F31:F32"/>
    <mergeCell ref="G31:G32"/>
    <mergeCell ref="H31:H32"/>
    <mergeCell ref="I31:I32"/>
    <mergeCell ref="J31:J32"/>
    <mergeCell ref="K31:K32"/>
    <mergeCell ref="B4:B5"/>
    <mergeCell ref="B2:B3"/>
    <mergeCell ref="B6:B7"/>
    <mergeCell ref="B8:B9"/>
    <mergeCell ref="B10:B11"/>
    <mergeCell ref="B25:B26"/>
    <mergeCell ref="B27:B28"/>
    <mergeCell ref="B29:B30"/>
    <mergeCell ref="B31:B3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2"/>
  <sheetViews>
    <sheetView workbookViewId="0">
      <selection activeCell="H9" sqref="H9"/>
    </sheetView>
  </sheetViews>
  <sheetFormatPr defaultRowHeight="15" x14ac:dyDescent="0.25"/>
  <cols>
    <col min="1" max="1" width="6.7109375" style="7" customWidth="1"/>
    <col min="2" max="2" width="35.5703125" bestFit="1" customWidth="1"/>
    <col min="5" max="5" width="89.42578125" bestFit="1" customWidth="1"/>
    <col min="7" max="7" width="14.140625" bestFit="1" customWidth="1"/>
    <col min="8" max="8" width="70.7109375" customWidth="1"/>
    <col min="11" max="11" width="36.28515625" bestFit="1" customWidth="1"/>
  </cols>
  <sheetData>
    <row r="1" spans="1:12" x14ac:dyDescent="0.25">
      <c r="A1" s="7" t="s">
        <v>1267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5</v>
      </c>
      <c r="J1" t="s">
        <v>7</v>
      </c>
      <c r="K1" t="s">
        <v>8</v>
      </c>
      <c r="L1" t="s">
        <v>9</v>
      </c>
    </row>
    <row r="2" spans="1:12" x14ac:dyDescent="0.25">
      <c r="A2" s="7">
        <v>2</v>
      </c>
      <c r="B2" t="s">
        <v>10</v>
      </c>
      <c r="C2">
        <v>1</v>
      </c>
      <c r="D2" t="b">
        <v>1</v>
      </c>
      <c r="E2" t="s">
        <v>11</v>
      </c>
      <c r="H2" t="s">
        <v>12</v>
      </c>
      <c r="J2" t="s">
        <v>13</v>
      </c>
      <c r="K2" t="s">
        <v>14</v>
      </c>
      <c r="L2">
        <v>7479</v>
      </c>
    </row>
    <row r="3" spans="1:12" x14ac:dyDescent="0.25">
      <c r="A3" s="7">
        <v>3</v>
      </c>
      <c r="B3" t="s">
        <v>10</v>
      </c>
      <c r="C3">
        <v>2</v>
      </c>
      <c r="D3" t="b">
        <v>1</v>
      </c>
      <c r="E3" t="s">
        <v>11</v>
      </c>
      <c r="H3" t="s">
        <v>15</v>
      </c>
      <c r="J3" t="s">
        <v>13</v>
      </c>
      <c r="K3" t="s">
        <v>14</v>
      </c>
      <c r="L3">
        <v>4632</v>
      </c>
    </row>
    <row r="4" spans="1:12" x14ac:dyDescent="0.25">
      <c r="A4" s="7">
        <v>4</v>
      </c>
      <c r="B4" t="s">
        <v>10</v>
      </c>
      <c r="C4">
        <v>3</v>
      </c>
      <c r="D4" t="b">
        <v>1</v>
      </c>
      <c r="E4" t="s">
        <v>11</v>
      </c>
      <c r="H4" t="s">
        <v>16</v>
      </c>
      <c r="J4" t="s">
        <v>13</v>
      </c>
      <c r="K4" t="s">
        <v>14</v>
      </c>
      <c r="L4">
        <v>8455</v>
      </c>
    </row>
    <row r="5" spans="1:12" x14ac:dyDescent="0.25">
      <c r="A5" s="7" t="s">
        <v>260</v>
      </c>
      <c r="B5" t="s">
        <v>10</v>
      </c>
      <c r="C5">
        <v>4</v>
      </c>
      <c r="D5" t="b">
        <v>1</v>
      </c>
      <c r="E5" t="s">
        <v>11</v>
      </c>
      <c r="H5" t="s">
        <v>17</v>
      </c>
      <c r="J5" t="s">
        <v>13</v>
      </c>
      <c r="K5" t="s">
        <v>14</v>
      </c>
      <c r="L5">
        <v>0</v>
      </c>
    </row>
    <row r="6" spans="1:12" x14ac:dyDescent="0.25">
      <c r="A6" s="7">
        <v>2</v>
      </c>
      <c r="B6" t="s">
        <v>10</v>
      </c>
      <c r="C6">
        <v>5</v>
      </c>
      <c r="D6" t="b">
        <v>1</v>
      </c>
      <c r="E6" t="s">
        <v>18</v>
      </c>
      <c r="H6" t="s">
        <v>12</v>
      </c>
      <c r="J6" t="s">
        <v>13</v>
      </c>
      <c r="K6" t="s">
        <v>14</v>
      </c>
      <c r="L6">
        <v>14381</v>
      </c>
    </row>
    <row r="7" spans="1:12" x14ac:dyDescent="0.25">
      <c r="A7" s="7">
        <v>3</v>
      </c>
      <c r="B7" t="s">
        <v>10</v>
      </c>
      <c r="C7">
        <v>6</v>
      </c>
      <c r="D7" t="b">
        <v>1</v>
      </c>
      <c r="E7" t="s">
        <v>18</v>
      </c>
      <c r="H7" t="s">
        <v>15</v>
      </c>
      <c r="J7" t="s">
        <v>13</v>
      </c>
      <c r="K7" t="s">
        <v>14</v>
      </c>
      <c r="L7">
        <v>0</v>
      </c>
    </row>
    <row r="8" spans="1:12" x14ac:dyDescent="0.25">
      <c r="A8" s="7">
        <v>4</v>
      </c>
      <c r="B8" t="s">
        <v>10</v>
      </c>
      <c r="C8">
        <v>7</v>
      </c>
      <c r="D8" t="b">
        <v>1</v>
      </c>
      <c r="E8" t="s">
        <v>18</v>
      </c>
      <c r="H8" t="s">
        <v>16</v>
      </c>
      <c r="J8" t="s">
        <v>13</v>
      </c>
      <c r="K8" t="s">
        <v>14</v>
      </c>
      <c r="L8">
        <v>1010</v>
      </c>
    </row>
    <row r="9" spans="1:12" x14ac:dyDescent="0.25">
      <c r="A9" s="7">
        <v>5</v>
      </c>
      <c r="B9" t="s">
        <v>10</v>
      </c>
      <c r="C9">
        <v>8</v>
      </c>
      <c r="D9" t="b">
        <v>1</v>
      </c>
      <c r="E9" t="s">
        <v>19</v>
      </c>
      <c r="H9" t="s">
        <v>20</v>
      </c>
      <c r="J9" t="s">
        <v>13</v>
      </c>
      <c r="K9" t="s">
        <v>21</v>
      </c>
      <c r="L9">
        <v>42</v>
      </c>
    </row>
    <row r="10" spans="1:12" x14ac:dyDescent="0.25">
      <c r="A10" s="7">
        <v>7</v>
      </c>
      <c r="B10" t="s">
        <v>10</v>
      </c>
      <c r="C10">
        <v>9</v>
      </c>
      <c r="D10" t="b">
        <v>1</v>
      </c>
      <c r="E10" t="s">
        <v>22</v>
      </c>
      <c r="H10" t="s">
        <v>23</v>
      </c>
      <c r="J10" t="s">
        <v>13</v>
      </c>
      <c r="K10" t="s">
        <v>24</v>
      </c>
      <c r="L10">
        <v>337</v>
      </c>
    </row>
    <row r="11" spans="1:12" x14ac:dyDescent="0.25">
      <c r="A11" s="7">
        <v>4</v>
      </c>
      <c r="B11" t="s">
        <v>10</v>
      </c>
      <c r="C11">
        <v>10</v>
      </c>
      <c r="D11" t="b">
        <v>1</v>
      </c>
      <c r="E11" t="s">
        <v>25</v>
      </c>
      <c r="H11" t="s">
        <v>16</v>
      </c>
      <c r="J11" t="s">
        <v>13</v>
      </c>
      <c r="K11" t="s">
        <v>14</v>
      </c>
      <c r="L11">
        <v>0</v>
      </c>
    </row>
    <row r="12" spans="1:12" x14ac:dyDescent="0.25">
      <c r="A12" s="7">
        <v>6</v>
      </c>
      <c r="B12" t="s">
        <v>10</v>
      </c>
      <c r="C12">
        <v>11</v>
      </c>
      <c r="D12" t="b">
        <v>1</v>
      </c>
      <c r="E12" t="s">
        <v>26</v>
      </c>
      <c r="H12" t="s">
        <v>27</v>
      </c>
      <c r="J12" t="s">
        <v>13</v>
      </c>
      <c r="K12" t="s">
        <v>28</v>
      </c>
      <c r="L12">
        <v>4968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64"/>
  <sheetViews>
    <sheetView workbookViewId="0">
      <pane ySplit="1" topLeftCell="A26" activePane="bottomLeft" state="frozen"/>
      <selection pane="bottomLeft" activeCell="B16" sqref="B16"/>
    </sheetView>
  </sheetViews>
  <sheetFormatPr defaultRowHeight="15" x14ac:dyDescent="0.25"/>
  <cols>
    <col min="1" max="1" width="6.85546875" style="21" bestFit="1" customWidth="1"/>
    <col min="2" max="2" width="68.42578125" bestFit="1" customWidth="1"/>
    <col min="3" max="3" width="29.28515625" bestFit="1" customWidth="1"/>
    <col min="4" max="4" width="3" bestFit="1" customWidth="1"/>
    <col min="6" max="6" width="32.140625" customWidth="1"/>
    <col min="7" max="7" width="3.28515625" customWidth="1"/>
    <col min="8" max="8" width="14.28515625" bestFit="1" customWidth="1"/>
    <col min="9" max="9" width="45" bestFit="1" customWidth="1"/>
    <col min="10" max="10" width="14.28515625" bestFit="1" customWidth="1"/>
    <col min="11" max="11" width="7" bestFit="1" customWidth="1"/>
    <col min="12" max="12" width="29.28515625" bestFit="1" customWidth="1"/>
    <col min="13" max="13" width="7" bestFit="1" customWidth="1"/>
  </cols>
  <sheetData>
    <row r="1" spans="1:13" s="13" customFormat="1" x14ac:dyDescent="0.25">
      <c r="A1" s="20" t="s">
        <v>1460</v>
      </c>
      <c r="B1" s="13" t="s">
        <v>1456</v>
      </c>
      <c r="C1" s="13" t="s">
        <v>0</v>
      </c>
      <c r="D1" s="13" t="s">
        <v>1</v>
      </c>
      <c r="E1" s="13" t="s">
        <v>2</v>
      </c>
      <c r="F1" s="13" t="s">
        <v>3</v>
      </c>
      <c r="G1" s="13" t="s">
        <v>4</v>
      </c>
      <c r="H1" s="13" t="s">
        <v>5</v>
      </c>
      <c r="I1" s="13" t="s">
        <v>6</v>
      </c>
      <c r="J1" s="13" t="s">
        <v>5</v>
      </c>
      <c r="K1" s="13" t="s">
        <v>7</v>
      </c>
      <c r="L1" s="13" t="s">
        <v>8</v>
      </c>
      <c r="M1" s="13" t="s">
        <v>9</v>
      </c>
    </row>
    <row r="2" spans="1:13" x14ac:dyDescent="0.25">
      <c r="B2" s="5" t="s">
        <v>1619</v>
      </c>
      <c r="C2" t="s">
        <v>31</v>
      </c>
      <c r="D2">
        <v>1</v>
      </c>
      <c r="E2" t="b">
        <v>1</v>
      </c>
      <c r="F2" t="s">
        <v>32</v>
      </c>
      <c r="I2" t="s">
        <v>33</v>
      </c>
      <c r="K2" t="s">
        <v>13</v>
      </c>
      <c r="L2" t="s">
        <v>34</v>
      </c>
      <c r="M2">
        <v>52</v>
      </c>
    </row>
    <row r="3" spans="1:13" x14ac:dyDescent="0.25">
      <c r="A3" s="21">
        <v>23</v>
      </c>
      <c r="B3" s="6" t="s">
        <v>1620</v>
      </c>
      <c r="C3" t="s">
        <v>31</v>
      </c>
      <c r="D3">
        <v>2</v>
      </c>
      <c r="E3" t="b">
        <v>1</v>
      </c>
      <c r="F3" t="s">
        <v>35</v>
      </c>
      <c r="I3" t="s">
        <v>36</v>
      </c>
      <c r="K3" t="s">
        <v>13</v>
      </c>
      <c r="L3" t="s">
        <v>37</v>
      </c>
      <c r="M3">
        <v>141697</v>
      </c>
    </row>
    <row r="4" spans="1:13" x14ac:dyDescent="0.25">
      <c r="A4" s="21">
        <v>28</v>
      </c>
      <c r="B4" s="6" t="s">
        <v>1461</v>
      </c>
      <c r="C4" t="s">
        <v>31</v>
      </c>
      <c r="D4">
        <v>3</v>
      </c>
      <c r="E4" t="b">
        <v>1</v>
      </c>
      <c r="F4" t="s">
        <v>38</v>
      </c>
      <c r="I4" t="s">
        <v>39</v>
      </c>
      <c r="K4" t="s">
        <v>13</v>
      </c>
      <c r="L4" t="s">
        <v>14</v>
      </c>
      <c r="M4">
        <v>0</v>
      </c>
    </row>
    <row r="5" spans="1:13" x14ac:dyDescent="0.25">
      <c r="A5" s="21">
        <v>29</v>
      </c>
      <c r="B5" s="6" t="s">
        <v>1462</v>
      </c>
      <c r="C5" t="s">
        <v>31</v>
      </c>
      <c r="D5">
        <v>4</v>
      </c>
      <c r="E5" t="b">
        <v>1</v>
      </c>
      <c r="F5" t="s">
        <v>38</v>
      </c>
      <c r="I5" t="s">
        <v>40</v>
      </c>
      <c r="K5" t="s">
        <v>13</v>
      </c>
      <c r="L5" t="s">
        <v>21</v>
      </c>
      <c r="M5">
        <v>124</v>
      </c>
    </row>
    <row r="6" spans="1:13" x14ac:dyDescent="0.25">
      <c r="A6" s="21">
        <v>30</v>
      </c>
      <c r="B6" s="6" t="s">
        <v>1463</v>
      </c>
      <c r="C6" t="s">
        <v>31</v>
      </c>
      <c r="D6">
        <v>5</v>
      </c>
      <c r="E6" t="b">
        <v>1</v>
      </c>
      <c r="F6" t="s">
        <v>38</v>
      </c>
      <c r="I6" t="s">
        <v>41</v>
      </c>
      <c r="K6" t="s">
        <v>13</v>
      </c>
      <c r="L6" t="s">
        <v>21</v>
      </c>
      <c r="M6">
        <v>5</v>
      </c>
    </row>
    <row r="7" spans="1:13" x14ac:dyDescent="0.25">
      <c r="A7" s="21" t="s">
        <v>259</v>
      </c>
      <c r="B7" s="6" t="s">
        <v>1464</v>
      </c>
      <c r="C7" t="s">
        <v>31</v>
      </c>
      <c r="D7">
        <v>6</v>
      </c>
      <c r="E7" t="b">
        <v>1</v>
      </c>
      <c r="F7" t="s">
        <v>42</v>
      </c>
      <c r="I7" t="s">
        <v>43</v>
      </c>
      <c r="K7" t="s">
        <v>13</v>
      </c>
      <c r="L7" t="s">
        <v>14</v>
      </c>
      <c r="M7">
        <v>0</v>
      </c>
    </row>
    <row r="8" spans="1:13" x14ac:dyDescent="0.25">
      <c r="B8" s="5" t="s">
        <v>1496</v>
      </c>
      <c r="C8" t="s">
        <v>31</v>
      </c>
      <c r="D8">
        <v>7</v>
      </c>
      <c r="E8" t="b">
        <v>1</v>
      </c>
      <c r="F8" t="s">
        <v>42</v>
      </c>
      <c r="I8" t="s">
        <v>29</v>
      </c>
      <c r="K8" t="s">
        <v>13</v>
      </c>
      <c r="L8" t="s">
        <v>14</v>
      </c>
      <c r="M8">
        <v>36136</v>
      </c>
    </row>
    <row r="9" spans="1:13" x14ac:dyDescent="0.25">
      <c r="A9" s="21">
        <v>12</v>
      </c>
      <c r="B9" s="6" t="s">
        <v>1497</v>
      </c>
      <c r="C9" t="s">
        <v>31</v>
      </c>
      <c r="D9">
        <v>8</v>
      </c>
      <c r="E9" t="b">
        <v>1</v>
      </c>
      <c r="F9" t="s">
        <v>44</v>
      </c>
      <c r="I9" t="s">
        <v>45</v>
      </c>
      <c r="K9" t="s">
        <v>13</v>
      </c>
      <c r="L9" t="s">
        <v>21</v>
      </c>
      <c r="M9">
        <v>10</v>
      </c>
    </row>
    <row r="10" spans="1:13" x14ac:dyDescent="0.25">
      <c r="A10" s="21" t="s">
        <v>259</v>
      </c>
      <c r="B10" s="6" t="s">
        <v>1465</v>
      </c>
      <c r="C10" t="s">
        <v>31</v>
      </c>
      <c r="D10">
        <v>9</v>
      </c>
      <c r="E10" t="b">
        <v>1</v>
      </c>
      <c r="F10" t="s">
        <v>44</v>
      </c>
      <c r="I10" t="s">
        <v>29</v>
      </c>
      <c r="K10" t="s">
        <v>13</v>
      </c>
      <c r="L10" t="s">
        <v>14</v>
      </c>
      <c r="M10">
        <v>8145</v>
      </c>
    </row>
    <row r="11" spans="1:13" x14ac:dyDescent="0.25">
      <c r="A11" s="21">
        <v>17</v>
      </c>
      <c r="B11" s="6" t="s">
        <v>1466</v>
      </c>
      <c r="C11" t="s">
        <v>31</v>
      </c>
      <c r="D11">
        <v>10</v>
      </c>
      <c r="E11" t="b">
        <v>1</v>
      </c>
      <c r="F11" t="s">
        <v>44</v>
      </c>
      <c r="I11" t="s">
        <v>46</v>
      </c>
      <c r="K11" t="s">
        <v>13</v>
      </c>
      <c r="L11" t="s">
        <v>47</v>
      </c>
      <c r="M11">
        <v>127</v>
      </c>
    </row>
    <row r="12" spans="1:13" x14ac:dyDescent="0.25">
      <c r="A12" s="21">
        <v>13</v>
      </c>
      <c r="B12" s="6" t="s">
        <v>1467</v>
      </c>
      <c r="C12" t="s">
        <v>31</v>
      </c>
      <c r="D12">
        <v>11</v>
      </c>
      <c r="E12" t="b">
        <v>1</v>
      </c>
      <c r="F12" t="s">
        <v>48</v>
      </c>
      <c r="I12" t="s">
        <v>49</v>
      </c>
      <c r="K12" t="s">
        <v>13</v>
      </c>
      <c r="L12" t="s">
        <v>30</v>
      </c>
      <c r="M12">
        <v>4445</v>
      </c>
    </row>
    <row r="13" spans="1:13" x14ac:dyDescent="0.25">
      <c r="A13" s="21" t="s">
        <v>259</v>
      </c>
      <c r="B13" t="s">
        <v>259</v>
      </c>
      <c r="C13" t="s">
        <v>31</v>
      </c>
      <c r="D13">
        <v>12</v>
      </c>
      <c r="E13" t="b">
        <v>0</v>
      </c>
      <c r="F13" t="s">
        <v>48</v>
      </c>
      <c r="I13" t="s">
        <v>29</v>
      </c>
      <c r="K13" t="s">
        <v>13</v>
      </c>
      <c r="L13" t="s">
        <v>14</v>
      </c>
      <c r="M13">
        <v>0</v>
      </c>
    </row>
    <row r="14" spans="1:13" x14ac:dyDescent="0.25">
      <c r="A14" s="21">
        <v>31</v>
      </c>
      <c r="B14" s="6" t="s">
        <v>1468</v>
      </c>
      <c r="C14" t="s">
        <v>31</v>
      </c>
      <c r="D14">
        <v>13</v>
      </c>
      <c r="E14" t="b">
        <v>1</v>
      </c>
      <c r="F14" t="s">
        <v>48</v>
      </c>
      <c r="I14" t="s">
        <v>50</v>
      </c>
      <c r="K14" t="s">
        <v>13</v>
      </c>
      <c r="L14" t="s">
        <v>14</v>
      </c>
      <c r="M14">
        <v>3709</v>
      </c>
    </row>
    <row r="15" spans="1:13" x14ac:dyDescent="0.25">
      <c r="A15" s="21">
        <v>32</v>
      </c>
      <c r="B15" s="6" t="s">
        <v>1469</v>
      </c>
      <c r="C15" t="s">
        <v>31</v>
      </c>
      <c r="D15">
        <v>14</v>
      </c>
      <c r="E15" t="b">
        <v>1</v>
      </c>
      <c r="F15" t="s">
        <v>48</v>
      </c>
      <c r="I15" t="s">
        <v>12</v>
      </c>
      <c r="K15" t="s">
        <v>13</v>
      </c>
      <c r="L15" t="s">
        <v>14</v>
      </c>
      <c r="M15">
        <v>56</v>
      </c>
    </row>
    <row r="16" spans="1:13" x14ac:dyDescent="0.25">
      <c r="A16" s="21">
        <v>33</v>
      </c>
      <c r="B16" s="6" t="s">
        <v>1470</v>
      </c>
      <c r="C16" t="s">
        <v>31</v>
      </c>
      <c r="D16">
        <v>15</v>
      </c>
      <c r="E16" t="b">
        <v>1</v>
      </c>
      <c r="F16" t="s">
        <v>48</v>
      </c>
      <c r="I16" t="s">
        <v>51</v>
      </c>
      <c r="K16" t="s">
        <v>13</v>
      </c>
      <c r="L16" t="s">
        <v>14</v>
      </c>
      <c r="M16">
        <v>0</v>
      </c>
    </row>
    <row r="17" spans="1:13" x14ac:dyDescent="0.25">
      <c r="A17" s="21" t="s">
        <v>259</v>
      </c>
      <c r="B17" t="s">
        <v>259</v>
      </c>
      <c r="C17" t="s">
        <v>31</v>
      </c>
      <c r="D17">
        <v>16</v>
      </c>
      <c r="E17" t="b">
        <v>0</v>
      </c>
      <c r="F17" t="s">
        <v>52</v>
      </c>
      <c r="I17" t="s">
        <v>29</v>
      </c>
      <c r="K17" t="s">
        <v>13</v>
      </c>
      <c r="L17" t="s">
        <v>30</v>
      </c>
      <c r="M17">
        <v>0</v>
      </c>
    </row>
    <row r="18" spans="1:13" x14ac:dyDescent="0.25">
      <c r="A18" s="21">
        <v>25</v>
      </c>
      <c r="B18" s="6" t="s">
        <v>1498</v>
      </c>
      <c r="C18" t="s">
        <v>53</v>
      </c>
      <c r="D18">
        <v>1</v>
      </c>
      <c r="E18" t="b">
        <v>1</v>
      </c>
      <c r="F18" s="5" t="s">
        <v>29</v>
      </c>
      <c r="G18" s="5"/>
      <c r="H18" s="5"/>
      <c r="I18" s="5" t="s">
        <v>52</v>
      </c>
      <c r="J18" s="5"/>
      <c r="K18" s="5" t="s">
        <v>13</v>
      </c>
      <c r="L18" s="5" t="s">
        <v>30</v>
      </c>
      <c r="M18">
        <v>87020</v>
      </c>
    </row>
    <row r="19" spans="1:13" x14ac:dyDescent="0.25">
      <c r="A19" s="21">
        <v>16</v>
      </c>
      <c r="B19" s="6" t="s">
        <v>1471</v>
      </c>
      <c r="C19" t="s">
        <v>53</v>
      </c>
      <c r="D19">
        <v>2</v>
      </c>
      <c r="E19" t="b">
        <v>1</v>
      </c>
      <c r="F19" t="s">
        <v>46</v>
      </c>
      <c r="I19" t="s">
        <v>44</v>
      </c>
      <c r="K19" t="s">
        <v>13</v>
      </c>
      <c r="L19" t="s">
        <v>47</v>
      </c>
      <c r="M19">
        <v>93</v>
      </c>
    </row>
    <row r="20" spans="1:13" x14ac:dyDescent="0.25">
      <c r="A20" s="21" t="s">
        <v>259</v>
      </c>
      <c r="B20" s="6" t="s">
        <v>1472</v>
      </c>
      <c r="C20" t="s">
        <v>53</v>
      </c>
      <c r="D20">
        <v>3</v>
      </c>
      <c r="E20" t="b">
        <v>1</v>
      </c>
      <c r="F20" t="s">
        <v>50</v>
      </c>
      <c r="I20" t="s">
        <v>52</v>
      </c>
      <c r="K20" t="s">
        <v>13</v>
      </c>
      <c r="L20" t="s">
        <v>54</v>
      </c>
      <c r="M20">
        <v>0</v>
      </c>
    </row>
    <row r="21" spans="1:13" x14ac:dyDescent="0.25">
      <c r="A21" s="21" t="s">
        <v>259</v>
      </c>
      <c r="B21" s="6" t="s">
        <v>1499</v>
      </c>
      <c r="C21" t="s">
        <v>53</v>
      </c>
      <c r="D21">
        <v>4</v>
      </c>
      <c r="E21" t="b">
        <v>1</v>
      </c>
      <c r="F21" t="s">
        <v>55</v>
      </c>
      <c r="I21" t="s">
        <v>52</v>
      </c>
      <c r="K21" t="s">
        <v>13</v>
      </c>
      <c r="L21" t="s">
        <v>54</v>
      </c>
      <c r="M21">
        <v>0</v>
      </c>
    </row>
    <row r="22" spans="1:13" x14ac:dyDescent="0.25">
      <c r="A22" s="21">
        <v>19</v>
      </c>
      <c r="B22" s="6" t="s">
        <v>1473</v>
      </c>
      <c r="C22" t="s">
        <v>53</v>
      </c>
      <c r="D22">
        <v>5</v>
      </c>
      <c r="E22" t="b">
        <v>1</v>
      </c>
      <c r="F22" t="s">
        <v>55</v>
      </c>
      <c r="I22" t="s">
        <v>56</v>
      </c>
      <c r="K22" t="s">
        <v>13</v>
      </c>
      <c r="L22" t="s">
        <v>57</v>
      </c>
      <c r="M22">
        <v>7</v>
      </c>
    </row>
    <row r="23" spans="1:13" x14ac:dyDescent="0.25">
      <c r="A23" s="21">
        <v>20</v>
      </c>
      <c r="B23" s="6" t="s">
        <v>1474</v>
      </c>
      <c r="C23" t="s">
        <v>53</v>
      </c>
      <c r="D23">
        <v>6</v>
      </c>
      <c r="E23" t="b">
        <v>1</v>
      </c>
      <c r="F23" t="s">
        <v>55</v>
      </c>
      <c r="I23" t="s">
        <v>48</v>
      </c>
      <c r="K23" t="s">
        <v>13</v>
      </c>
      <c r="L23" t="s">
        <v>58</v>
      </c>
      <c r="M23">
        <v>1691</v>
      </c>
    </row>
    <row r="24" spans="1:13" x14ac:dyDescent="0.25">
      <c r="A24" s="21" t="s">
        <v>259</v>
      </c>
      <c r="B24" s="6" t="s">
        <v>1500</v>
      </c>
      <c r="C24" t="s">
        <v>53</v>
      </c>
      <c r="D24">
        <v>7</v>
      </c>
      <c r="E24" t="b">
        <v>1</v>
      </c>
      <c r="F24" t="s">
        <v>59</v>
      </c>
      <c r="I24" t="s">
        <v>52</v>
      </c>
      <c r="K24" t="s">
        <v>13</v>
      </c>
      <c r="L24" t="s">
        <v>54</v>
      </c>
      <c r="M24">
        <v>0</v>
      </c>
    </row>
    <row r="25" spans="1:13" x14ac:dyDescent="0.25">
      <c r="A25" s="21">
        <v>34</v>
      </c>
      <c r="B25" s="6" t="s">
        <v>1501</v>
      </c>
      <c r="C25" t="s">
        <v>53</v>
      </c>
      <c r="D25">
        <v>8</v>
      </c>
      <c r="E25" t="b">
        <v>1</v>
      </c>
      <c r="F25" t="s">
        <v>59</v>
      </c>
      <c r="I25" t="s">
        <v>42</v>
      </c>
      <c r="K25" t="s">
        <v>13</v>
      </c>
      <c r="L25" t="s">
        <v>14</v>
      </c>
      <c r="M25">
        <v>31894</v>
      </c>
    </row>
    <row r="26" spans="1:13" x14ac:dyDescent="0.25">
      <c r="A26" s="21">
        <v>8</v>
      </c>
      <c r="B26" s="6" t="s">
        <v>1475</v>
      </c>
      <c r="C26" t="s">
        <v>53</v>
      </c>
      <c r="D26">
        <v>9</v>
      </c>
      <c r="E26" t="b">
        <v>1</v>
      </c>
      <c r="F26" t="s">
        <v>43</v>
      </c>
      <c r="I26" t="s">
        <v>56</v>
      </c>
      <c r="K26" t="s">
        <v>13</v>
      </c>
      <c r="L26" t="s">
        <v>57</v>
      </c>
      <c r="M26">
        <v>42</v>
      </c>
    </row>
    <row r="27" spans="1:13" x14ac:dyDescent="0.25">
      <c r="A27" s="21">
        <v>10</v>
      </c>
      <c r="B27" s="6" t="s">
        <v>1476</v>
      </c>
      <c r="C27" t="s">
        <v>53</v>
      </c>
      <c r="D27">
        <v>10</v>
      </c>
      <c r="E27" t="b">
        <v>1</v>
      </c>
      <c r="F27" t="s">
        <v>43</v>
      </c>
      <c r="I27" t="s">
        <v>48</v>
      </c>
      <c r="K27" t="s">
        <v>13</v>
      </c>
      <c r="L27" t="s">
        <v>58</v>
      </c>
      <c r="M27">
        <v>152</v>
      </c>
    </row>
    <row r="28" spans="1:13" x14ac:dyDescent="0.25">
      <c r="A28" s="21">
        <v>9</v>
      </c>
      <c r="B28" s="6" t="s">
        <v>1477</v>
      </c>
      <c r="C28" t="s">
        <v>53</v>
      </c>
      <c r="D28">
        <v>11</v>
      </c>
      <c r="E28" t="b">
        <v>1</v>
      </c>
      <c r="F28" t="s">
        <v>43</v>
      </c>
      <c r="I28" t="s">
        <v>60</v>
      </c>
      <c r="K28" t="s">
        <v>13</v>
      </c>
      <c r="L28" t="s">
        <v>61</v>
      </c>
      <c r="M28">
        <v>30</v>
      </c>
    </row>
    <row r="29" spans="1:13" x14ac:dyDescent="0.25">
      <c r="A29" s="21">
        <v>35</v>
      </c>
      <c r="B29" s="6" t="s">
        <v>1478</v>
      </c>
      <c r="C29" t="s">
        <v>53</v>
      </c>
      <c r="D29">
        <v>12</v>
      </c>
      <c r="E29" t="b">
        <v>1</v>
      </c>
      <c r="F29" t="s">
        <v>43</v>
      </c>
      <c r="I29" t="s">
        <v>62</v>
      </c>
      <c r="K29" t="s">
        <v>13</v>
      </c>
      <c r="L29" t="s">
        <v>14</v>
      </c>
      <c r="M29">
        <v>0</v>
      </c>
    </row>
    <row r="30" spans="1:13" x14ac:dyDescent="0.25">
      <c r="A30" s="21" t="s">
        <v>259</v>
      </c>
      <c r="B30" s="6" t="s">
        <v>1479</v>
      </c>
      <c r="C30" t="s">
        <v>53</v>
      </c>
      <c r="D30">
        <v>13</v>
      </c>
      <c r="E30" t="b">
        <v>1</v>
      </c>
      <c r="F30" t="s">
        <v>63</v>
      </c>
      <c r="I30" t="s">
        <v>62</v>
      </c>
      <c r="K30" t="s">
        <v>13</v>
      </c>
      <c r="L30" t="s">
        <v>30</v>
      </c>
      <c r="M30">
        <v>297</v>
      </c>
    </row>
    <row r="31" spans="1:13" x14ac:dyDescent="0.25">
      <c r="A31" s="21">
        <v>36</v>
      </c>
      <c r="B31" s="6" t="s">
        <v>1502</v>
      </c>
      <c r="C31" t="s">
        <v>53</v>
      </c>
      <c r="D31">
        <v>14</v>
      </c>
      <c r="E31" t="b">
        <v>1</v>
      </c>
      <c r="F31" t="s">
        <v>43</v>
      </c>
      <c r="I31" t="s">
        <v>42</v>
      </c>
      <c r="K31" t="s">
        <v>13</v>
      </c>
      <c r="L31" t="s">
        <v>14</v>
      </c>
      <c r="M31">
        <v>0</v>
      </c>
    </row>
    <row r="32" spans="1:13" x14ac:dyDescent="0.25">
      <c r="A32" s="21">
        <v>51</v>
      </c>
      <c r="B32" s="6" t="s">
        <v>1503</v>
      </c>
      <c r="C32" t="s">
        <v>53</v>
      </c>
      <c r="D32">
        <v>15</v>
      </c>
      <c r="E32" t="b">
        <v>1</v>
      </c>
      <c r="F32" t="s">
        <v>43</v>
      </c>
      <c r="I32" t="s">
        <v>64</v>
      </c>
      <c r="K32" t="s">
        <v>13</v>
      </c>
      <c r="L32" t="s">
        <v>65</v>
      </c>
      <c r="M32">
        <v>0</v>
      </c>
    </row>
    <row r="33" spans="1:13" x14ac:dyDescent="0.25">
      <c r="A33" s="21">
        <v>37</v>
      </c>
      <c r="B33" s="6" t="s">
        <v>1504</v>
      </c>
      <c r="C33" t="s">
        <v>53</v>
      </c>
      <c r="D33">
        <v>16</v>
      </c>
      <c r="E33" t="b">
        <v>1</v>
      </c>
      <c r="F33" t="s">
        <v>66</v>
      </c>
      <c r="I33" t="s">
        <v>60</v>
      </c>
      <c r="K33" t="s">
        <v>13</v>
      </c>
      <c r="L33" t="s">
        <v>61</v>
      </c>
      <c r="M33">
        <v>0</v>
      </c>
    </row>
    <row r="34" spans="1:13" x14ac:dyDescent="0.25">
      <c r="A34" s="21" t="s">
        <v>259</v>
      </c>
      <c r="B34" s="5" t="s">
        <v>1504</v>
      </c>
      <c r="C34" t="s">
        <v>53</v>
      </c>
      <c r="D34">
        <v>17</v>
      </c>
      <c r="E34" t="b">
        <v>1</v>
      </c>
      <c r="F34" t="s">
        <v>66</v>
      </c>
      <c r="I34" t="s">
        <v>60</v>
      </c>
      <c r="K34" t="s">
        <v>13</v>
      </c>
      <c r="L34" t="s">
        <v>67</v>
      </c>
      <c r="M34">
        <v>0</v>
      </c>
    </row>
    <row r="35" spans="1:13" x14ac:dyDescent="0.25">
      <c r="A35" s="21" t="s">
        <v>259</v>
      </c>
      <c r="B35" s="5" t="s">
        <v>1632</v>
      </c>
      <c r="C35" t="s">
        <v>53</v>
      </c>
      <c r="D35">
        <v>18</v>
      </c>
      <c r="E35" t="b">
        <v>1</v>
      </c>
      <c r="F35" t="s">
        <v>63</v>
      </c>
      <c r="I35" t="s">
        <v>60</v>
      </c>
      <c r="K35" t="s">
        <v>13</v>
      </c>
      <c r="L35" t="s">
        <v>30</v>
      </c>
      <c r="M35">
        <v>0</v>
      </c>
    </row>
    <row r="36" spans="1:13" x14ac:dyDescent="0.25">
      <c r="A36" s="21">
        <v>38</v>
      </c>
      <c r="B36" s="6" t="s">
        <v>1480</v>
      </c>
      <c r="C36" t="s">
        <v>53</v>
      </c>
      <c r="D36">
        <v>19</v>
      </c>
      <c r="E36" t="b">
        <v>1</v>
      </c>
      <c r="F36" t="s">
        <v>68</v>
      </c>
      <c r="I36" t="s">
        <v>56</v>
      </c>
      <c r="K36" t="s">
        <v>13</v>
      </c>
      <c r="L36" t="s">
        <v>57</v>
      </c>
      <c r="M36">
        <v>75914</v>
      </c>
    </row>
    <row r="37" spans="1:13" x14ac:dyDescent="0.25">
      <c r="B37" s="5" t="s">
        <v>1659</v>
      </c>
      <c r="C37" t="s">
        <v>53</v>
      </c>
      <c r="D37">
        <v>20</v>
      </c>
      <c r="E37" t="b">
        <v>1</v>
      </c>
      <c r="F37" t="s">
        <v>68</v>
      </c>
      <c r="I37" t="s">
        <v>56</v>
      </c>
      <c r="K37" t="s">
        <v>13</v>
      </c>
      <c r="L37" t="s">
        <v>67</v>
      </c>
      <c r="M37">
        <v>1250</v>
      </c>
    </row>
    <row r="38" spans="1:13" x14ac:dyDescent="0.25">
      <c r="A38" s="21">
        <v>39</v>
      </c>
      <c r="B38" s="6" t="s">
        <v>1633</v>
      </c>
      <c r="C38" t="s">
        <v>53</v>
      </c>
      <c r="D38">
        <v>21</v>
      </c>
      <c r="E38" t="b">
        <v>1</v>
      </c>
      <c r="F38" t="s">
        <v>69</v>
      </c>
      <c r="I38" t="s">
        <v>70</v>
      </c>
      <c r="K38" t="s">
        <v>13</v>
      </c>
      <c r="L38" t="s">
        <v>30</v>
      </c>
      <c r="M38">
        <v>95</v>
      </c>
    </row>
    <row r="39" spans="1:13" x14ac:dyDescent="0.25">
      <c r="A39" s="21">
        <v>40</v>
      </c>
      <c r="B39" s="6" t="s">
        <v>1481</v>
      </c>
      <c r="C39" t="s">
        <v>53</v>
      </c>
      <c r="D39">
        <v>22</v>
      </c>
      <c r="E39" t="b">
        <v>1</v>
      </c>
      <c r="F39" t="s">
        <v>71</v>
      </c>
      <c r="I39" t="s">
        <v>72</v>
      </c>
      <c r="K39" t="s">
        <v>13</v>
      </c>
      <c r="L39" t="s">
        <v>30</v>
      </c>
      <c r="M39">
        <v>49</v>
      </c>
    </row>
    <row r="40" spans="1:13" x14ac:dyDescent="0.25">
      <c r="A40" s="21" t="s">
        <v>259</v>
      </c>
      <c r="B40" s="6" t="s">
        <v>1482</v>
      </c>
      <c r="C40" t="s">
        <v>53</v>
      </c>
      <c r="D40">
        <v>23</v>
      </c>
      <c r="E40" t="b">
        <v>1</v>
      </c>
      <c r="F40" t="s">
        <v>73</v>
      </c>
      <c r="I40" t="s">
        <v>72</v>
      </c>
      <c r="K40" t="s">
        <v>13</v>
      </c>
      <c r="L40" t="s">
        <v>30</v>
      </c>
      <c r="M40">
        <v>0</v>
      </c>
    </row>
    <row r="41" spans="1:13" x14ac:dyDescent="0.25">
      <c r="A41" s="21">
        <v>41</v>
      </c>
      <c r="B41" s="6" t="s">
        <v>1483</v>
      </c>
      <c r="C41" t="s">
        <v>53</v>
      </c>
      <c r="D41">
        <v>24</v>
      </c>
      <c r="E41" t="b">
        <v>1</v>
      </c>
      <c r="F41" t="s">
        <v>74</v>
      </c>
      <c r="I41" t="s">
        <v>48</v>
      </c>
      <c r="K41" t="s">
        <v>13</v>
      </c>
      <c r="L41" t="s">
        <v>47</v>
      </c>
      <c r="M41">
        <v>244</v>
      </c>
    </row>
    <row r="42" spans="1:13" x14ac:dyDescent="0.25">
      <c r="A42" s="21">
        <v>42</v>
      </c>
      <c r="B42" s="6" t="s">
        <v>1484</v>
      </c>
      <c r="C42" t="s">
        <v>53</v>
      </c>
      <c r="D42">
        <v>25</v>
      </c>
      <c r="E42" t="b">
        <v>1</v>
      </c>
      <c r="F42" t="s">
        <v>75</v>
      </c>
      <c r="I42" t="s">
        <v>38</v>
      </c>
      <c r="K42" t="s">
        <v>13</v>
      </c>
      <c r="L42" t="s">
        <v>14</v>
      </c>
      <c r="M42">
        <v>237</v>
      </c>
    </row>
    <row r="43" spans="1:13" x14ac:dyDescent="0.25">
      <c r="A43" s="21">
        <v>42</v>
      </c>
      <c r="B43" s="6" t="s">
        <v>1640</v>
      </c>
      <c r="C43" t="s">
        <v>53</v>
      </c>
      <c r="D43">
        <v>26</v>
      </c>
      <c r="E43" t="b">
        <v>1</v>
      </c>
      <c r="F43" t="s">
        <v>63</v>
      </c>
      <c r="I43" t="s">
        <v>38</v>
      </c>
      <c r="K43" t="s">
        <v>13</v>
      </c>
      <c r="L43" t="s">
        <v>30</v>
      </c>
      <c r="M43">
        <v>8</v>
      </c>
    </row>
    <row r="44" spans="1:13" x14ac:dyDescent="0.25">
      <c r="A44" s="21">
        <v>43</v>
      </c>
      <c r="B44" s="6" t="s">
        <v>1642</v>
      </c>
      <c r="C44" t="s">
        <v>53</v>
      </c>
      <c r="D44">
        <v>27</v>
      </c>
      <c r="E44" t="b">
        <v>1</v>
      </c>
      <c r="F44" t="s">
        <v>76</v>
      </c>
      <c r="I44" t="s">
        <v>42</v>
      </c>
      <c r="K44" t="s">
        <v>13</v>
      </c>
      <c r="L44" t="s">
        <v>30</v>
      </c>
      <c r="M44">
        <v>324</v>
      </c>
    </row>
    <row r="45" spans="1:13" x14ac:dyDescent="0.25">
      <c r="A45" s="21" t="s">
        <v>259</v>
      </c>
      <c r="B45" s="6" t="s">
        <v>1485</v>
      </c>
      <c r="C45" t="s">
        <v>53</v>
      </c>
      <c r="D45">
        <v>28</v>
      </c>
      <c r="E45" t="b">
        <v>1</v>
      </c>
      <c r="F45" t="s">
        <v>63</v>
      </c>
      <c r="I45" t="s">
        <v>77</v>
      </c>
      <c r="K45" t="s">
        <v>13</v>
      </c>
      <c r="L45" t="s">
        <v>30</v>
      </c>
      <c r="M45">
        <v>0</v>
      </c>
    </row>
    <row r="46" spans="1:13" x14ac:dyDescent="0.25">
      <c r="A46" s="21">
        <v>38</v>
      </c>
      <c r="B46" s="6" t="s">
        <v>1486</v>
      </c>
      <c r="C46" t="s">
        <v>53</v>
      </c>
      <c r="D46">
        <v>29</v>
      </c>
      <c r="E46" t="b">
        <v>1</v>
      </c>
      <c r="F46" t="s">
        <v>63</v>
      </c>
      <c r="I46" t="s">
        <v>56</v>
      </c>
      <c r="K46" t="s">
        <v>13</v>
      </c>
      <c r="L46" t="s">
        <v>30</v>
      </c>
      <c r="M46">
        <v>205</v>
      </c>
    </row>
    <row r="47" spans="1:13" x14ac:dyDescent="0.25">
      <c r="A47" s="21">
        <v>44</v>
      </c>
      <c r="B47" s="6" t="s">
        <v>1487</v>
      </c>
      <c r="C47" t="s">
        <v>53</v>
      </c>
      <c r="D47">
        <v>30</v>
      </c>
      <c r="E47" t="b">
        <v>1</v>
      </c>
      <c r="F47" t="s">
        <v>78</v>
      </c>
      <c r="I47" t="s">
        <v>44</v>
      </c>
      <c r="K47" t="s">
        <v>13</v>
      </c>
      <c r="L47" t="s">
        <v>28</v>
      </c>
      <c r="M47">
        <v>58629</v>
      </c>
    </row>
    <row r="48" spans="1:13" x14ac:dyDescent="0.25">
      <c r="A48" s="21">
        <v>45</v>
      </c>
      <c r="B48" s="6" t="s">
        <v>1505</v>
      </c>
      <c r="C48" t="s">
        <v>53</v>
      </c>
      <c r="D48">
        <v>31</v>
      </c>
      <c r="E48" t="b">
        <v>1</v>
      </c>
      <c r="F48" t="s">
        <v>63</v>
      </c>
      <c r="I48" t="s">
        <v>52</v>
      </c>
      <c r="K48" t="s">
        <v>13</v>
      </c>
      <c r="L48" t="s">
        <v>54</v>
      </c>
      <c r="M48">
        <v>0</v>
      </c>
    </row>
    <row r="49" spans="1:13" x14ac:dyDescent="0.25">
      <c r="A49" s="21">
        <v>42</v>
      </c>
      <c r="B49" s="6" t="s">
        <v>1644</v>
      </c>
      <c r="C49" t="s">
        <v>53</v>
      </c>
      <c r="D49">
        <v>32</v>
      </c>
      <c r="E49" t="b">
        <v>1</v>
      </c>
      <c r="F49" t="s">
        <v>79</v>
      </c>
      <c r="I49" t="s">
        <v>38</v>
      </c>
      <c r="K49" t="s">
        <v>13</v>
      </c>
      <c r="L49" t="s">
        <v>14</v>
      </c>
      <c r="M49">
        <v>4</v>
      </c>
    </row>
    <row r="50" spans="1:13" x14ac:dyDescent="0.25">
      <c r="A50" s="21" t="s">
        <v>259</v>
      </c>
      <c r="B50" s="6" t="s">
        <v>1506</v>
      </c>
      <c r="C50" t="s">
        <v>53</v>
      </c>
      <c r="D50">
        <v>33</v>
      </c>
      <c r="E50" t="b">
        <v>1</v>
      </c>
      <c r="F50" t="s">
        <v>80</v>
      </c>
      <c r="I50" t="s">
        <v>48</v>
      </c>
      <c r="K50" t="s">
        <v>13</v>
      </c>
      <c r="L50" t="s">
        <v>58</v>
      </c>
      <c r="M50">
        <v>0</v>
      </c>
    </row>
    <row r="51" spans="1:13" x14ac:dyDescent="0.25">
      <c r="A51" s="21" t="s">
        <v>259</v>
      </c>
      <c r="B51" s="6" t="s">
        <v>1488</v>
      </c>
      <c r="C51" t="s">
        <v>53</v>
      </c>
      <c r="D51">
        <v>34</v>
      </c>
      <c r="E51" t="b">
        <v>1</v>
      </c>
      <c r="F51" t="s">
        <v>80</v>
      </c>
      <c r="I51" t="s">
        <v>52</v>
      </c>
      <c r="K51" t="s">
        <v>13</v>
      </c>
      <c r="L51" t="s">
        <v>54</v>
      </c>
      <c r="M51">
        <v>0</v>
      </c>
    </row>
    <row r="52" spans="1:13" x14ac:dyDescent="0.25">
      <c r="A52" s="21" t="s">
        <v>1507</v>
      </c>
      <c r="B52" s="6" t="s">
        <v>1489</v>
      </c>
      <c r="C52" t="s">
        <v>53</v>
      </c>
      <c r="D52">
        <v>35</v>
      </c>
      <c r="E52" t="b">
        <v>1</v>
      </c>
      <c r="F52" t="s">
        <v>81</v>
      </c>
      <c r="I52" t="s">
        <v>52</v>
      </c>
      <c r="K52" t="s">
        <v>13</v>
      </c>
      <c r="L52" t="s">
        <v>54</v>
      </c>
      <c r="M52">
        <v>0</v>
      </c>
    </row>
    <row r="53" spans="1:13" x14ac:dyDescent="0.25">
      <c r="A53" s="21">
        <v>46</v>
      </c>
      <c r="B53" s="6" t="s">
        <v>1646</v>
      </c>
      <c r="C53" t="s">
        <v>53</v>
      </c>
      <c r="D53">
        <v>36</v>
      </c>
      <c r="E53" t="b">
        <v>1</v>
      </c>
      <c r="F53" t="s">
        <v>82</v>
      </c>
      <c r="I53" t="s">
        <v>83</v>
      </c>
      <c r="K53" t="s">
        <v>13</v>
      </c>
      <c r="L53" t="s">
        <v>30</v>
      </c>
      <c r="M53">
        <v>0</v>
      </c>
    </row>
    <row r="54" spans="1:13" x14ac:dyDescent="0.25">
      <c r="A54" s="21">
        <v>47</v>
      </c>
      <c r="B54" s="6" t="s">
        <v>1490</v>
      </c>
      <c r="C54" t="s">
        <v>53</v>
      </c>
      <c r="D54">
        <v>37</v>
      </c>
      <c r="E54" t="b">
        <v>1</v>
      </c>
      <c r="F54" t="s">
        <v>84</v>
      </c>
      <c r="I54" t="s">
        <v>64</v>
      </c>
      <c r="K54" t="s">
        <v>13</v>
      </c>
      <c r="L54" t="s">
        <v>30</v>
      </c>
      <c r="M54">
        <v>1646</v>
      </c>
    </row>
    <row r="55" spans="1:13" x14ac:dyDescent="0.25">
      <c r="A55" s="21">
        <v>48</v>
      </c>
      <c r="B55" s="6" t="s">
        <v>1649</v>
      </c>
      <c r="C55" t="s">
        <v>53</v>
      </c>
      <c r="D55">
        <v>38</v>
      </c>
      <c r="E55" t="b">
        <v>1</v>
      </c>
      <c r="F55" t="s">
        <v>23</v>
      </c>
      <c r="I55" t="s">
        <v>64</v>
      </c>
      <c r="K55" t="s">
        <v>13</v>
      </c>
      <c r="L55" t="s">
        <v>24</v>
      </c>
      <c r="M55">
        <v>622</v>
      </c>
    </row>
    <row r="56" spans="1:13" x14ac:dyDescent="0.25">
      <c r="A56" s="21" t="s">
        <v>259</v>
      </c>
      <c r="B56" s="6" t="s">
        <v>1650</v>
      </c>
      <c r="C56" t="s">
        <v>53</v>
      </c>
      <c r="D56">
        <v>39</v>
      </c>
      <c r="E56" t="b">
        <v>1</v>
      </c>
      <c r="F56" t="s">
        <v>85</v>
      </c>
      <c r="I56" t="s">
        <v>44</v>
      </c>
      <c r="K56" t="s">
        <v>13</v>
      </c>
      <c r="L56" t="s">
        <v>28</v>
      </c>
      <c r="M56">
        <v>0</v>
      </c>
    </row>
    <row r="57" spans="1:13" x14ac:dyDescent="0.25">
      <c r="A57" s="21">
        <v>49</v>
      </c>
      <c r="B57" s="5" t="s">
        <v>1651</v>
      </c>
      <c r="C57" t="s">
        <v>53</v>
      </c>
      <c r="D57">
        <v>40</v>
      </c>
      <c r="E57" t="b">
        <v>1</v>
      </c>
      <c r="F57" t="s">
        <v>49</v>
      </c>
      <c r="I57" t="s">
        <v>48</v>
      </c>
      <c r="K57" t="s">
        <v>13</v>
      </c>
      <c r="L57" t="s">
        <v>30</v>
      </c>
      <c r="M57">
        <v>380</v>
      </c>
    </row>
    <row r="58" spans="1:13" x14ac:dyDescent="0.25">
      <c r="A58" s="21" t="s">
        <v>259</v>
      </c>
      <c r="B58" s="6" t="s">
        <v>1491</v>
      </c>
      <c r="C58" t="s">
        <v>53</v>
      </c>
      <c r="D58">
        <v>41</v>
      </c>
      <c r="E58" t="b">
        <v>1</v>
      </c>
      <c r="F58" t="s">
        <v>86</v>
      </c>
      <c r="I58" t="s">
        <v>87</v>
      </c>
      <c r="K58" t="s">
        <v>13</v>
      </c>
      <c r="L58" t="s">
        <v>14</v>
      </c>
      <c r="M58">
        <v>0</v>
      </c>
    </row>
    <row r="59" spans="1:13" x14ac:dyDescent="0.25">
      <c r="A59" s="21" t="s">
        <v>259</v>
      </c>
      <c r="B59" s="6" t="s">
        <v>1492</v>
      </c>
      <c r="C59" t="s">
        <v>53</v>
      </c>
      <c r="D59">
        <v>42</v>
      </c>
      <c r="E59" t="b">
        <v>1</v>
      </c>
      <c r="F59" t="s">
        <v>63</v>
      </c>
      <c r="I59" t="s">
        <v>87</v>
      </c>
      <c r="K59" t="s">
        <v>13</v>
      </c>
      <c r="L59" t="s">
        <v>30</v>
      </c>
      <c r="M59">
        <v>0</v>
      </c>
    </row>
    <row r="60" spans="1:13" x14ac:dyDescent="0.25">
      <c r="A60" s="21">
        <v>50</v>
      </c>
      <c r="B60" s="5" t="s">
        <v>1654</v>
      </c>
      <c r="C60" t="s">
        <v>53</v>
      </c>
      <c r="D60">
        <v>43</v>
      </c>
      <c r="E60" t="b">
        <v>1</v>
      </c>
      <c r="F60" t="s">
        <v>88</v>
      </c>
      <c r="I60" t="s">
        <v>89</v>
      </c>
      <c r="K60" t="s">
        <v>13</v>
      </c>
      <c r="L60" t="s">
        <v>30</v>
      </c>
      <c r="M60">
        <v>0</v>
      </c>
    </row>
    <row r="61" spans="1:13" x14ac:dyDescent="0.25">
      <c r="A61" s="21" t="s">
        <v>259</v>
      </c>
      <c r="B61" s="6" t="s">
        <v>1656</v>
      </c>
      <c r="C61" t="s">
        <v>53</v>
      </c>
      <c r="D61">
        <v>44</v>
      </c>
      <c r="E61" t="b">
        <v>1</v>
      </c>
      <c r="F61" t="s">
        <v>63</v>
      </c>
      <c r="I61" t="s">
        <v>90</v>
      </c>
      <c r="K61" t="s">
        <v>13</v>
      </c>
      <c r="L61" t="s">
        <v>30</v>
      </c>
      <c r="M61">
        <v>0</v>
      </c>
    </row>
    <row r="62" spans="1:13" x14ac:dyDescent="0.25">
      <c r="A62" s="21" t="s">
        <v>259</v>
      </c>
      <c r="B62" s="6" t="s">
        <v>1655</v>
      </c>
      <c r="C62" t="s">
        <v>53</v>
      </c>
      <c r="D62">
        <v>45</v>
      </c>
      <c r="E62" t="b">
        <v>1</v>
      </c>
      <c r="F62" t="s">
        <v>91</v>
      </c>
      <c r="I62" t="s">
        <v>90</v>
      </c>
      <c r="K62" t="s">
        <v>13</v>
      </c>
      <c r="L62" t="s">
        <v>92</v>
      </c>
      <c r="M62">
        <v>0</v>
      </c>
    </row>
    <row r="63" spans="1:13" x14ac:dyDescent="0.25">
      <c r="A63" s="21" t="s">
        <v>259</v>
      </c>
      <c r="B63" s="6" t="s">
        <v>1493</v>
      </c>
      <c r="C63" t="s">
        <v>53</v>
      </c>
      <c r="D63">
        <v>46</v>
      </c>
      <c r="E63" t="b">
        <v>1</v>
      </c>
      <c r="F63" t="s">
        <v>93</v>
      </c>
      <c r="I63" t="s">
        <v>90</v>
      </c>
      <c r="K63" t="s">
        <v>13</v>
      </c>
      <c r="L63" t="s">
        <v>30</v>
      </c>
      <c r="M63">
        <v>0</v>
      </c>
    </row>
    <row r="64" spans="1:13" x14ac:dyDescent="0.25">
      <c r="A64" s="21" t="s">
        <v>259</v>
      </c>
      <c r="B64" s="6" t="s">
        <v>1494</v>
      </c>
      <c r="C64" t="s">
        <v>53</v>
      </c>
      <c r="D64">
        <v>47</v>
      </c>
      <c r="E64" t="b">
        <v>1</v>
      </c>
      <c r="F64" t="s">
        <v>94</v>
      </c>
      <c r="I64" t="s">
        <v>32</v>
      </c>
      <c r="K64" t="s">
        <v>13</v>
      </c>
      <c r="L64" t="s">
        <v>95</v>
      </c>
      <c r="M64">
        <v>0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Palo Alto Policy Security</vt:lpstr>
      <vt:lpstr>PA Zones</vt:lpstr>
      <vt:lpstr>Objects</vt:lpstr>
      <vt:lpstr>Object Groups</vt:lpstr>
      <vt:lpstr>PA NATs</vt:lpstr>
      <vt:lpstr>Application Groups</vt:lpstr>
      <vt:lpstr>AD Groups</vt:lpstr>
      <vt:lpstr>Staging_DMZ</vt:lpstr>
      <vt:lpstr>Applications</vt:lpstr>
      <vt:lpstr>Cisco NATs</vt:lpstr>
      <vt:lpstr>Staging_Outside</vt:lpstr>
      <vt:lpstr>Staging</vt:lpstr>
      <vt:lpstr>Objects!Staging_Objects___Copy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Jon Catlin</cp:lastModifiedBy>
  <dcterms:created xsi:type="dcterms:W3CDTF">2018-01-03T21:06:51Z</dcterms:created>
  <dcterms:modified xsi:type="dcterms:W3CDTF">2018-04-04T22:38:38Z</dcterms:modified>
</cp:coreProperties>
</file>